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os" sheetId="1" state="visible" r:id="rId1"/>
    <sheet xmlns:r="http://schemas.openxmlformats.org/officeDocument/2006/relationships" name="Graficos" sheetId="2" state="visible" r:id="rId2"/>
    <sheet xmlns:r="http://schemas.openxmlformats.org/officeDocument/2006/relationships" name="Explicacion"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5">
    <font>
      <name val="Calibri"/>
      <family val="2"/>
      <color theme="1"/>
      <sz val="11"/>
      <scheme val="minor"/>
    </font>
    <font>
      <b val="1"/>
      <color rgb="00FFFFFF"/>
      <sz val="13"/>
    </font>
    <font>
      <i val="1"/>
      <color rgb="00595959"/>
      <sz val="9"/>
    </font>
    <font>
      <b val="1"/>
      <color rgb="00FFFFFF"/>
    </font>
    <font>
      <b val="1"/>
    </font>
  </fonts>
  <fills count="6">
    <fill>
      <patternFill/>
    </fill>
    <fill>
      <patternFill patternType="gray125"/>
    </fill>
    <fill>
      <patternFill patternType="solid">
        <fgColor rgb="001F4E78"/>
      </patternFill>
    </fill>
    <fill>
      <patternFill patternType="solid">
        <fgColor rgb="00F2F2F2"/>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4" fontId="0" fillId="0" borderId="1" pivotButton="0" quotePrefix="0" xfId="0"/>
    <xf numFmtId="164" fontId="0" fillId="0" borderId="1" pivotButton="0" quotePrefix="0" xfId="0"/>
    <xf numFmtId="0" fontId="0" fillId="3" borderId="1" pivotButton="0" quotePrefix="0" xfId="0"/>
    <xf numFmtId="4" fontId="0" fillId="3" borderId="1" pivotButton="0" quotePrefix="0" xfId="0"/>
    <xf numFmtId="164" fontId="0" fillId="3" borderId="1" pivotButton="0" quotePrefix="0" xfId="0"/>
    <xf numFmtId="0" fontId="0" fillId="4" borderId="1" pivotButton="0" quotePrefix="0" xfId="0"/>
    <xf numFmtId="4" fontId="0" fillId="4" borderId="1" pivotButton="0" quotePrefix="0" xfId="0"/>
    <xf numFmtId="164" fontId="0" fillId="4" borderId="1" pivotButton="0" quotePrefix="0" xfId="0"/>
    <xf numFmtId="0" fontId="4" fillId="5" borderId="1" pivotButton="0" quotePrefix="0" xfId="0"/>
    <xf numFmtId="4" fontId="4" fillId="5" borderId="1" pivotButton="0" quotePrefix="0" xfId="0"/>
    <xf numFmtId="165" fontId="0" fillId="0" borderId="1" pivotButton="0" quotePrefix="0" xfId="0"/>
    <xf numFmtId="165" fontId="0" fillId="3" borderId="1" pivotButton="0" quotePrefix="0" xfId="0"/>
    <xf numFmtId="0" fontId="4" fillId="0" borderId="0" pivotButton="0" quotePrefix="0" xfId="0"/>
    <xf numFmtId="164" fontId="0"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Volumen de Transacciones por Proceso</a:t>
            </a:r>
          </a:p>
        </rich>
      </tx>
    </title>
    <plotArea>
      <barChart>
        <barDir val="col"/>
        <grouping val="clustered"/>
        <ser>
          <idx val="0"/>
          <order val="0"/>
          <tx>
            <strRef>
              <f>'Graficos'!B2</f>
            </strRef>
          </tx>
          <spPr>
            <a:solidFill xmlns:a="http://schemas.openxmlformats.org/drawingml/2006/main">
              <a:srgbClr val="1F4E78"/>
            </a:solidFill>
            <a:ln xmlns:a="http://schemas.openxmlformats.org/drawingml/2006/main">
              <a:solidFill>
                <a:srgbClr val="1F4E78"/>
              </a:solidFill>
              <a:prstDash val="solid"/>
            </a:ln>
          </spPr>
          <cat>
            <numRef>
              <f>'Graficos'!$A$3:$A$7</f>
            </numRef>
          </cat>
          <val>
            <numRef>
              <f>'Graficos'!$B$3:$B$7</f>
            </numRef>
          </val>
        </ser>
        <ser>
          <idx val="1"/>
          <order val="1"/>
          <tx>
            <strRef>
              <f>'Graficos'!C2</f>
            </strRef>
          </tx>
          <spPr>
            <a:solidFill xmlns:a="http://schemas.openxmlformats.org/drawingml/2006/main">
              <a:srgbClr val="2E8B57"/>
            </a:solidFill>
            <a:ln xmlns:a="http://schemas.openxmlformats.org/drawingml/2006/main">
              <a:solidFill>
                <a:srgbClr val="2E8B57"/>
              </a:solidFill>
              <a:prstDash val="solid"/>
            </a:ln>
          </spPr>
          <cat>
            <numRef>
              <f>'Graficos'!$A$3:$A$7</f>
            </numRef>
          </cat>
          <val>
            <numRef>
              <f>'Graficos'!$C$3:$C$7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N° de transacciones</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Monto Operado por Proceso (S/)</a:t>
            </a:r>
          </a:p>
        </rich>
      </tx>
    </title>
    <plotArea>
      <barChart>
        <barDir val="col"/>
        <grouping val="clustered"/>
        <ser>
          <idx val="0"/>
          <order val="0"/>
          <tx>
            <strRef>
              <f>'Graficos'!D2</f>
            </strRef>
          </tx>
          <spPr>
            <a:solidFill xmlns:a="http://schemas.openxmlformats.org/drawingml/2006/main">
              <a:srgbClr val="1F4E78"/>
            </a:solidFill>
            <a:ln xmlns:a="http://schemas.openxmlformats.org/drawingml/2006/main">
              <a:solidFill>
                <a:srgbClr val="1F4E78"/>
              </a:solidFill>
              <a:prstDash val="solid"/>
            </a:ln>
          </spPr>
          <cat>
            <numRef>
              <f>'Graficos'!$A$3:$A$7</f>
            </numRef>
          </cat>
          <val>
            <numRef>
              <f>'Graficos'!$D$3:$D$7</f>
            </numRef>
          </val>
        </ser>
        <ser>
          <idx val="1"/>
          <order val="1"/>
          <tx>
            <strRef>
              <f>'Graficos'!E2</f>
            </strRef>
          </tx>
          <spPr>
            <a:solidFill xmlns:a="http://schemas.openxmlformats.org/drawingml/2006/main">
              <a:srgbClr val="2E8B57"/>
            </a:solidFill>
            <a:ln xmlns:a="http://schemas.openxmlformats.org/drawingml/2006/main">
              <a:solidFill>
                <a:srgbClr val="2E8B57"/>
              </a:solidFill>
              <a:prstDash val="solid"/>
            </a:ln>
          </spPr>
          <cat>
            <numRef>
              <f>'Graficos'!$A$3:$A$7</f>
            </numRef>
          </cat>
          <val>
            <numRef>
              <f>'Graficos'!$E$3:$E$7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Monto (S/)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K5a: % Transacciones Ejecutadas por el Analista</a:t>
            </a:r>
          </a:p>
        </rich>
      </tx>
    </title>
    <plotArea>
      <lineChart>
        <grouping val="standard"/>
        <ser>
          <idx val="0"/>
          <order val="0"/>
          <tx>
            <strRef>
              <f>'Graficos'!F2</f>
            </strRef>
          </tx>
          <spPr>
            <a:solidFill xmlns:a="http://schemas.openxmlformats.org/drawingml/2006/main">
              <a:srgbClr val="C00000"/>
            </a:solidFill>
            <a:ln xmlns:a="http://schemas.openxmlformats.org/drawingml/2006/main" w="25000">
              <a:solidFill>
                <a:srgbClr val="C00000"/>
              </a:solidFill>
              <a:prstDash val="solid"/>
            </a:ln>
          </spPr>
          <marker>
            <symbol val="circle"/>
            <size val="6"/>
            <spPr>
              <a:solidFill xmlns:a="http://schemas.openxmlformats.org/drawingml/2006/main">
                <a:srgbClr val="C00000"/>
              </a:solidFill>
              <a:ln xmlns:a="http://schemas.openxmlformats.org/drawingml/2006/main">
                <a:solidFill>
                  <a:srgbClr val="C00000"/>
                </a:solidFill>
                <a:prstDash val="solid"/>
              </a:ln>
            </spPr>
          </marker>
          <cat>
            <numRef>
              <f>'Graficos'!$A$3:$A$7</f>
            </numRef>
          </cat>
          <val>
            <numRef>
              <f>'Graficos'!$F$3:$F$7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 del total de ops</a:t>
                </a:r>
              </a:p>
            </rich>
          </tx>
        </title>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2"/>
  <chart>
    <title>
      <tx>
        <rich>
          <a:bodyPr xmlns:a="http://schemas.openxmlformats.org/drawingml/2006/main"/>
          <a:p xmlns:a="http://schemas.openxmlformats.org/drawingml/2006/main">
            <a:pPr>
              <a:defRPr/>
            </a:pPr>
            <a:r>
              <a:t>K6b: Cobertura de Despliegue (universo real por familia)</a:t>
            </a:r>
          </a:p>
        </rich>
      </tx>
    </title>
    <plotArea>
      <lineChart>
        <grouping val="standard"/>
        <ser>
          <idx val="0"/>
          <order val="0"/>
          <tx>
            <strRef>
              <f>'Graficos'!G2</f>
            </strRef>
          </tx>
          <spPr>
            <a:solidFill xmlns:a="http://schemas.openxmlformats.org/drawingml/2006/main">
              <a:srgbClr val="1F4E78"/>
            </a:solidFill>
            <a:ln xmlns:a="http://schemas.openxmlformats.org/drawingml/2006/main" w="25000">
              <a:solidFill>
                <a:srgbClr val="1F4E78"/>
              </a:solidFill>
              <a:prstDash val="solid"/>
            </a:ln>
          </spPr>
          <marker>
            <symbol val="circle"/>
            <size val="6"/>
            <spPr>
              <a:solidFill xmlns:a="http://schemas.openxmlformats.org/drawingml/2006/main">
                <a:srgbClr val="1F4E78"/>
              </a:solidFill>
              <a:ln xmlns:a="http://schemas.openxmlformats.org/drawingml/2006/main">
                <a:solidFill>
                  <a:srgbClr val="1F4E78"/>
                </a:solidFill>
                <a:prstDash val="solid"/>
              </a:ln>
            </spPr>
          </marker>
          <cat>
            <numRef>
              <f>'Graficos'!$A$3:$A$7</f>
            </numRef>
          </cat>
          <val>
            <numRef>
              <f>'Graficos'!$G$3:$G$7</f>
            </numRef>
          </val>
          <smooth val="0"/>
        </ser>
        <ser>
          <idx val="1"/>
          <order val="1"/>
          <tx>
            <strRef>
              <f>'Graficos'!H2</f>
            </strRef>
          </tx>
          <spPr>
            <a:solidFill xmlns:a="http://schemas.openxmlformats.org/drawingml/2006/main">
              <a:srgbClr val="2E8B57"/>
            </a:solidFill>
            <a:ln xmlns:a="http://schemas.openxmlformats.org/drawingml/2006/main" w="25000">
              <a:solidFill>
                <a:srgbClr val="2E8B57"/>
              </a:solidFill>
              <a:prstDash val="solid"/>
            </a:ln>
          </spPr>
          <marker>
            <symbol val="circle"/>
            <size val="6"/>
            <spPr>
              <a:solidFill xmlns:a="http://schemas.openxmlformats.org/drawingml/2006/main">
                <a:srgbClr val="2E8B57"/>
              </a:solidFill>
              <a:ln xmlns:a="http://schemas.openxmlformats.org/drawingml/2006/main">
                <a:solidFill>
                  <a:srgbClr val="2E8B57"/>
                </a:solidFill>
                <a:prstDash val="solid"/>
              </a:ln>
            </spPr>
          </marker>
          <cat>
            <numRef>
              <f>'Graficos'!$A$3:$A$7</f>
            </numRef>
          </cat>
          <val>
            <numRef>
              <f>'Graficos'!$H$3:$H$7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 de agencias del universo</a:t>
                </a:r>
              </a:p>
            </rich>
          </tx>
        </title>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style val="12"/>
  <chart>
    <title>
      <tx>
        <rich>
          <a:bodyPr xmlns:a="http://schemas.openxmlformats.org/drawingml/2006/main"/>
          <a:p xmlns:a="http://schemas.openxmlformats.org/drawingml/2006/main">
            <a:pPr>
              <a:defRPr/>
            </a:pPr>
            <a:r>
              <a:t>Eficiencia: Ops/Operador/Dia (persona-dia vs calendario)</a:t>
            </a:r>
          </a:p>
        </rich>
      </tx>
    </title>
    <plotArea>
      <lineChart>
        <grouping val="standard"/>
        <ser>
          <idx val="0"/>
          <order val="0"/>
          <tx>
            <strRef>
              <f>'Graficos'!J2</f>
            </strRef>
          </tx>
          <spPr>
            <a:solidFill xmlns:a="http://schemas.openxmlformats.org/drawingml/2006/main">
              <a:srgbClr val="1F4E78"/>
            </a:solidFill>
            <a:ln xmlns:a="http://schemas.openxmlformats.org/drawingml/2006/main" w="25000">
              <a:solidFill>
                <a:srgbClr val="1F4E78"/>
              </a:solidFill>
              <a:prstDash val="solid"/>
            </a:ln>
          </spPr>
          <marker>
            <symbol val="circle"/>
            <size val="6"/>
            <spPr>
              <a:solidFill xmlns:a="http://schemas.openxmlformats.org/drawingml/2006/main">
                <a:srgbClr val="1F4E78"/>
              </a:solidFill>
              <a:ln xmlns:a="http://schemas.openxmlformats.org/drawingml/2006/main">
                <a:solidFill>
                  <a:srgbClr val="1F4E78"/>
                </a:solidFill>
                <a:prstDash val="solid"/>
              </a:ln>
            </spPr>
          </marker>
          <cat>
            <numRef>
              <f>'Graficos'!$A$3:$A$7</f>
            </numRef>
          </cat>
          <val>
            <numRef>
              <f>'Graficos'!$J$3:$J$7</f>
            </numRef>
          </val>
          <smooth val="0"/>
        </ser>
        <ser>
          <idx val="1"/>
          <order val="1"/>
          <tx>
            <strRef>
              <f>'Graficos'!K2</f>
            </strRef>
          </tx>
          <spPr>
            <a:solidFill xmlns:a="http://schemas.openxmlformats.org/drawingml/2006/main">
              <a:srgbClr val="808080"/>
            </a:solidFill>
            <a:ln xmlns:a="http://schemas.openxmlformats.org/drawingml/2006/main" w="25000">
              <a:solidFill>
                <a:srgbClr val="808080"/>
              </a:solidFill>
              <a:prstDash val="solid"/>
            </a:ln>
          </spPr>
          <marker>
            <symbol val="circle"/>
            <size val="6"/>
            <spPr>
              <a:solidFill xmlns:a="http://schemas.openxmlformats.org/drawingml/2006/main">
                <a:srgbClr val="808080"/>
              </a:solidFill>
              <a:ln xmlns:a="http://schemas.openxmlformats.org/drawingml/2006/main">
                <a:solidFill>
                  <a:srgbClr val="808080"/>
                </a:solidFill>
                <a:prstDash val="solid"/>
              </a:ln>
            </spPr>
          </marker>
          <cat>
            <numRef>
              <f>'Graficos'!$A$3:$A$7</f>
            </numRef>
          </cat>
          <val>
            <numRef>
              <f>'Graficos'!$K$3:$K$7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Ops por operador y dia</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K5: Ratio de Carga entre Asistentes</a:t>
            </a:r>
          </a:p>
        </rich>
      </tx>
    </title>
    <plotArea>
      <barChart>
        <barDir val="col"/>
        <grouping val="clustered"/>
        <ser>
          <idx val="0"/>
          <order val="0"/>
          <tx>
            <strRef>
              <f>'Graficos'!I2</f>
            </strRef>
          </tx>
          <spPr>
            <a:solidFill xmlns:a="http://schemas.openxmlformats.org/drawingml/2006/main">
              <a:srgbClr val="ED7D31"/>
            </a:solidFill>
            <a:ln xmlns:a="http://schemas.openxmlformats.org/drawingml/2006/main">
              <a:solidFill>
                <a:srgbClr val="ED7D31"/>
              </a:solidFill>
              <a:prstDash val="solid"/>
            </a:ln>
          </spPr>
          <cat>
            <numRef>
              <f>'Graficos'!$A$3:$A$7</f>
            </numRef>
          </cat>
          <val>
            <numRef>
              <f>'Graficos'!$I$3:$I$7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Ratio MAX/MIN (meta &lt;= 2.0x)</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style val="12"/>
  <chart>
    <title>
      <tx>
        <rich>
          <a:bodyPr xmlns:a="http://schemas.openxmlformats.org/drawingml/2006/main"/>
          <a:p xmlns:a="http://schemas.openxmlformats.org/drawingml/2006/main">
            <a:pPr>
              <a:defRPr/>
            </a:pPr>
            <a:r>
              <a:t>K6a: % Absorcion — Pago Lote y CTS (dentro del alcance)</a:t>
            </a:r>
          </a:p>
        </rich>
      </tx>
    </title>
    <plotArea>
      <lineChart>
        <grouping val="standard"/>
        <ser>
          <idx val="0"/>
          <order val="0"/>
          <tx>
            <strRef>
              <f>'Graficos'!L2</f>
            </strRef>
          </tx>
          <spPr>
            <a:solidFill xmlns:a="http://schemas.openxmlformats.org/drawingml/2006/main">
              <a:srgbClr val="1F4E78"/>
            </a:solidFill>
            <a:ln xmlns:a="http://schemas.openxmlformats.org/drawingml/2006/main" w="25000">
              <a:solidFill>
                <a:srgbClr val="1F4E78"/>
              </a:solidFill>
              <a:prstDash val="solid"/>
            </a:ln>
          </spPr>
          <marker>
            <symbol val="circle"/>
            <size val="6"/>
            <spPr>
              <a:solidFill xmlns:a="http://schemas.openxmlformats.org/drawingml/2006/main">
                <a:srgbClr val="1F4E78"/>
              </a:solidFill>
              <a:ln xmlns:a="http://schemas.openxmlformats.org/drawingml/2006/main">
                <a:solidFill>
                  <a:srgbClr val="1F4E78"/>
                </a:solidFill>
                <a:prstDash val="solid"/>
              </a:ln>
            </spPr>
          </marker>
          <cat>
            <numRef>
              <f>'Graficos'!$A$3:$A$7</f>
            </numRef>
          </cat>
          <val>
            <numRef>
              <f>'Graficos'!$L$3:$L$7</f>
            </numRef>
          </val>
          <smooth val="0"/>
        </ser>
        <ser>
          <idx val="1"/>
          <order val="1"/>
          <tx>
            <strRef>
              <f>'Graficos'!M2</f>
            </strRef>
          </tx>
          <spPr>
            <a:solidFill xmlns:a="http://schemas.openxmlformats.org/drawingml/2006/main">
              <a:srgbClr val="2E8B57"/>
            </a:solidFill>
            <a:ln xmlns:a="http://schemas.openxmlformats.org/drawingml/2006/main" w="25000">
              <a:solidFill>
                <a:srgbClr val="2E8B57"/>
              </a:solidFill>
              <a:prstDash val="solid"/>
            </a:ln>
          </spPr>
          <marker>
            <symbol val="circle"/>
            <size val="6"/>
            <spPr>
              <a:solidFill xmlns:a="http://schemas.openxmlformats.org/drawingml/2006/main">
                <a:srgbClr val="2E8B57"/>
              </a:solidFill>
              <a:ln xmlns:a="http://schemas.openxmlformats.org/drawingml/2006/main">
                <a:solidFill>
                  <a:srgbClr val="2E8B57"/>
                </a:solidFill>
                <a:prstDash val="solid"/>
              </a:ln>
            </spPr>
          </marker>
          <cat>
            <numRef>
              <f>'Graficos'!$A$3:$A$7</f>
            </numRef>
          </cat>
          <val>
            <numRef>
              <f>'Graficos'!$M$3:$M$7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 ejecutado por el equipo</a:t>
                </a:r>
              </a:p>
            </rich>
          </tx>
        </title>
        <numFmt formatCode="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style val="12"/>
  <chart>
    <title>
      <tx>
        <rich>
          <a:bodyPr xmlns:a="http://schemas.openxmlformats.org/drawingml/2006/main"/>
          <a:p xmlns:a="http://schemas.openxmlformats.org/drawingml/2006/main">
            <a:pPr>
              <a:defRPr/>
            </a:pPr>
            <a:r>
              <a:t>K8: Tasa de Extornos (Imputable vs Total)</a:t>
            </a:r>
          </a:p>
        </rich>
      </tx>
    </title>
    <plotArea>
      <lineChart>
        <grouping val="standard"/>
        <ser>
          <idx val="0"/>
          <order val="0"/>
          <tx>
            <strRef>
              <f>'Graficos'!B8</f>
            </strRef>
          </tx>
          <spPr>
            <a:solidFill xmlns:a="http://schemas.openxmlformats.org/drawingml/2006/main">
              <a:srgbClr val="C00000"/>
            </a:solidFill>
            <a:ln xmlns:a="http://schemas.openxmlformats.org/drawingml/2006/main" w="25000">
              <a:solidFill>
                <a:srgbClr val="C00000"/>
              </a:solidFill>
              <a:prstDash val="solid"/>
            </a:ln>
          </spPr>
          <marker>
            <symbol val="circle"/>
            <size val="6"/>
            <spPr>
              <a:solidFill xmlns:a="http://schemas.openxmlformats.org/drawingml/2006/main">
                <a:srgbClr val="C00000"/>
              </a:solidFill>
              <a:ln xmlns:a="http://schemas.openxmlformats.org/drawingml/2006/main">
                <a:solidFill>
                  <a:srgbClr val="C00000"/>
                </a:solidFill>
                <a:prstDash val="solid"/>
              </a:ln>
            </spPr>
          </marker>
          <cat>
            <numRef>
              <f>'Graficos'!$A$9:$A$14</f>
            </numRef>
          </cat>
          <val>
            <numRef>
              <f>'Graficos'!$B$9:$B$14</f>
            </numRef>
          </val>
          <smooth val="0"/>
        </ser>
        <ser>
          <idx val="1"/>
          <order val="1"/>
          <tx>
            <strRef>
              <f>'Graficos'!C8</f>
            </strRef>
          </tx>
          <spPr>
            <a:solidFill xmlns:a="http://schemas.openxmlformats.org/drawingml/2006/main">
              <a:srgbClr val="808080"/>
            </a:solidFill>
            <a:ln xmlns:a="http://schemas.openxmlformats.org/drawingml/2006/main" w="25000">
              <a:solidFill>
                <a:srgbClr val="808080"/>
              </a:solidFill>
              <a:prstDash val="solid"/>
            </a:ln>
          </spPr>
          <marker>
            <symbol val="circle"/>
            <size val="6"/>
            <spPr>
              <a:solidFill xmlns:a="http://schemas.openxmlformats.org/drawingml/2006/main">
                <a:srgbClr val="808080"/>
              </a:solidFill>
              <a:ln xmlns:a="http://schemas.openxmlformats.org/drawingml/2006/main">
                <a:solidFill>
                  <a:srgbClr val="808080"/>
                </a:solidFill>
                <a:prstDash val="solid"/>
              </a:ln>
            </spPr>
          </marker>
          <cat>
            <numRef>
              <f>'Graficos'!$A$9:$A$14</f>
            </numRef>
          </cat>
          <val>
            <numRef>
              <f>'Graficos'!$C$9:$C$14</f>
            </numRef>
          </val>
          <smooth val="0"/>
        </ser>
        <axId val="10"/>
        <axId val="100"/>
      </line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 del total de operaciones</a:t>
                </a:r>
              </a:p>
            </rich>
          </tx>
        </title>
        <numFmt formatCode="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Horas Estimadas por Proceso (auxiliar)</a:t>
            </a:r>
          </a:p>
        </rich>
      </tx>
    </title>
    <plotArea>
      <barChart>
        <barDir val="col"/>
        <grouping val="stacked"/>
        <ser>
          <idx val="0"/>
          <order val="0"/>
          <tx>
            <strRef>
              <f>'Graficos'!B15</f>
            </strRef>
          </tx>
          <spPr>
            <a:solidFill xmlns:a="http://schemas.openxmlformats.org/drawingml/2006/main">
              <a:srgbClr val="1F4E78"/>
            </a:solidFill>
            <a:ln xmlns:a="http://schemas.openxmlformats.org/drawingml/2006/main">
              <a:solidFill>
                <a:srgbClr val="1F4E78"/>
              </a:solidFill>
              <a:prstDash val="solid"/>
            </a:ln>
          </spPr>
          <cat>
            <numRef>
              <f>'Graficos'!$A$16:$A$21</f>
            </numRef>
          </cat>
          <val>
            <numRef>
              <f>'Graficos'!$B$16:$B$21</f>
            </numRef>
          </val>
        </ser>
        <ser>
          <idx val="1"/>
          <order val="1"/>
          <tx>
            <strRef>
              <f>'Graficos'!C15</f>
            </strRef>
          </tx>
          <spPr>
            <a:solidFill xmlns:a="http://schemas.openxmlformats.org/drawingml/2006/main">
              <a:srgbClr val="2E8B57"/>
            </a:solidFill>
            <a:ln xmlns:a="http://schemas.openxmlformats.org/drawingml/2006/main">
              <a:solidFill>
                <a:srgbClr val="2E8B57"/>
              </a:solidFill>
              <a:prstDash val="solid"/>
            </a:ln>
          </spPr>
          <cat>
            <numRef>
              <f>'Graficos'!$A$16:$A$21</f>
            </numRef>
          </cat>
          <val>
            <numRef>
              <f>'Graficos'!$C$16:$C$21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rPr sz="1100" b="1"/>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rPr sz="1100" b="1"/>
                  <a:t>Horas estimadas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drawing1.xml><?xml version="1.0" encoding="utf-8"?>
<wsDr xmlns="http://schemas.openxmlformats.org/drawingml/2006/spreadsheetDrawing">
  <oneCellAnchor>
    <from>
      <col>14</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25</col>
      <colOff>0</colOff>
      <row>2</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14</col>
      <colOff>0</colOff>
      <row>22</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25</col>
      <colOff>0</colOff>
      <row>22</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14</col>
      <colOff>0</colOff>
      <row>42</row>
      <rowOff>0</rowOff>
    </from>
    <ext cx="540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25</col>
      <colOff>0</colOff>
      <row>42</row>
      <rowOff>0</rowOff>
    </from>
    <ext cx="540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14</col>
      <colOff>0</colOff>
      <row>62</row>
      <rowOff>0</rowOff>
    </from>
    <ext cx="540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25</col>
      <colOff>0</colOff>
      <row>62</row>
      <rowOff>0</rowOff>
    </from>
    <ext cx="540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14</col>
      <colOff>0</colOff>
      <row>82</row>
      <rowOff>0</rowOff>
    </from>
    <ext cx="540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99"/>
  <sheetViews>
    <sheetView showGridLines="0" workbookViewId="0">
      <selection activeCell="A1" sqref="A1"/>
    </sheetView>
  </sheetViews>
  <sheetFormatPr baseColWidth="8" defaultRowHeight="15"/>
  <cols>
    <col width="25" customWidth="1" min="1" max="1"/>
    <col width="28" customWidth="1" min="2" max="2"/>
    <col width="26" customWidth="1" min="3" max="3"/>
    <col width="33" customWidth="1" min="4" max="4"/>
    <col width="34" customWidth="1" min="5" max="5"/>
    <col width="40" customWidth="1" min="6" max="6"/>
    <col width="40" customWidth="1" min="7" max="7"/>
    <col width="30" customWidth="1" min="8" max="8"/>
    <col width="28" customWidth="1" min="9" max="9"/>
    <col width="40" customWidth="1" min="10" max="10"/>
    <col width="15" customWidth="1" min="11" max="11"/>
    <col width="17" customWidth="1" min="12" max="12"/>
    <col width="16" customWidth="1" min="13" max="13"/>
    <col width="22" customWidth="1" min="14" max="14"/>
    <col width="32" customWidth="1" min="15" max="15"/>
    <col width="26" customWidth="1" min="16" max="16"/>
  </cols>
  <sheetData>
    <row r="1" ht="22" customHeight="1">
      <c r="A1" s="1" t="inlineStr">
        <is>
          <t>TABLERO DE KPIs — PAGOS MASIVOS Y CTS</t>
        </is>
      </c>
    </row>
    <row r="2">
      <c r="A2" s="2" t="inlineStr">
        <is>
          <t>Mes destacado: 2026-08  ·  Generado: 2026-08-29 12:01</t>
        </is>
      </c>
    </row>
    <row r="4">
      <c r="A4" s="3" t="inlineStr">
        <is>
          <t>Mes</t>
        </is>
      </c>
      <c r="B4" s="3" t="inlineStr">
        <is>
          <t>K1 Vol Pago</t>
        </is>
      </c>
      <c r="C4" s="3" t="inlineStr">
        <is>
          <t>K2 Monto Pago</t>
        </is>
      </c>
      <c r="D4" s="3" t="inlineStr">
        <is>
          <t>K3 Vol CTS</t>
        </is>
      </c>
      <c r="E4" s="3" t="inlineStr">
        <is>
          <t>K4 Monto CTS</t>
        </is>
      </c>
      <c r="F4" s="3" t="inlineStr">
        <is>
          <t>Vol Apertura CTS</t>
        </is>
      </c>
      <c r="G4" s="3" t="inlineStr">
        <is>
          <t>Vol Apertura Ahorros/Sueldo</t>
        </is>
      </c>
      <c r="H4" s="3" t="inlineStr">
        <is>
          <t>Vol Pendientes x Devolver</t>
        </is>
      </c>
      <c r="I4" s="3" t="inlineStr">
        <is>
          <t>Monto Pendientes (S/)</t>
        </is>
      </c>
      <c r="J4" s="3" t="inlineStr">
        <is>
          <t>Total Ops</t>
        </is>
      </c>
      <c r="K4" s="3" t="inlineStr">
        <is>
          <t>Total Monto</t>
        </is>
      </c>
      <c r="L4" s="3" t="inlineStr">
        <is>
          <t>K5 Ratio Asist.</t>
        </is>
      </c>
      <c r="M4" s="3" t="inlineStr">
        <is>
          <t>K5a % Analista</t>
        </is>
      </c>
      <c r="N4" s="3" t="inlineStr">
        <is>
          <t>Empleadores CTS</t>
        </is>
      </c>
      <c r="O4" s="3" t="inlineStr">
        <is>
          <t>% Absorcion Pago Lote (Equipo)</t>
        </is>
      </c>
      <c r="P4" s="3" t="inlineStr">
        <is>
          <t>% Absorcion CTS (Equipo)</t>
        </is>
      </c>
    </row>
    <row r="5">
      <c r="A5" s="4" t="inlineStr">
        <is>
          <t>2026-04</t>
        </is>
      </c>
      <c r="B5" s="4" t="n">
        <v>25</v>
      </c>
      <c r="C5" s="5" t="n">
        <v>198579.49</v>
      </c>
      <c r="D5" s="4" t="n">
        <v>13</v>
      </c>
      <c r="E5" s="5" t="n">
        <v>176626.55</v>
      </c>
      <c r="F5" s="4" t="n">
        <v>0</v>
      </c>
      <c r="G5" s="4" t="n">
        <v>0</v>
      </c>
      <c r="H5" s="4" t="n">
        <v>10</v>
      </c>
      <c r="I5" s="4" t="n">
        <v>16696.2</v>
      </c>
      <c r="J5" s="4">
        <f>B5+D5+F5+G5+H5</f>
        <v/>
      </c>
      <c r="K5" s="5" t="n">
        <v>391902.24</v>
      </c>
      <c r="L5" s="4" t="inlineStr">
        <is>
          <t>N/A</t>
        </is>
      </c>
      <c r="M5" s="6" t="n">
        <v>0.0833</v>
      </c>
      <c r="N5" s="4" t="n">
        <v>8</v>
      </c>
      <c r="O5" s="6" t="n">
        <v>0.9615</v>
      </c>
      <c r="P5" s="6" t="n">
        <v>0.5417</v>
      </c>
    </row>
    <row r="6">
      <c r="A6" s="7" t="inlineStr">
        <is>
          <t>2026-05</t>
        </is>
      </c>
      <c r="B6" s="7" t="n">
        <v>24</v>
      </c>
      <c r="C6" s="8" t="n">
        <v>134218.04</v>
      </c>
      <c r="D6" s="7" t="n">
        <v>218</v>
      </c>
      <c r="E6" s="8" t="n">
        <v>3048818.08</v>
      </c>
      <c r="F6" s="7" t="n">
        <v>0</v>
      </c>
      <c r="G6" s="7" t="n">
        <v>0</v>
      </c>
      <c r="H6" s="7" t="n">
        <v>11</v>
      </c>
      <c r="I6" s="7" t="n">
        <v>14419.54</v>
      </c>
      <c r="J6" s="7">
        <f>B6+D6+F6+G6+H6</f>
        <v/>
      </c>
      <c r="K6" s="8" t="n">
        <v>3197455.66</v>
      </c>
      <c r="L6" s="7" t="n">
        <v>1.13</v>
      </c>
      <c r="M6" s="9" t="n">
        <v>0.1067</v>
      </c>
      <c r="N6" s="7" t="n">
        <v>8</v>
      </c>
      <c r="O6" s="9" t="n">
        <v>0.9231</v>
      </c>
      <c r="P6" s="9" t="n">
        <v>0.9356</v>
      </c>
    </row>
    <row r="7">
      <c r="A7" s="4" t="inlineStr">
        <is>
          <t>2026-06</t>
        </is>
      </c>
      <c r="B7" s="4" t="n">
        <v>50</v>
      </c>
      <c r="C7" s="5" t="n">
        <v>349052.76</v>
      </c>
      <c r="D7" s="4" t="n">
        <v>62</v>
      </c>
      <c r="E7" s="5" t="n">
        <v>915628.4300000001</v>
      </c>
      <c r="F7" s="4" t="n">
        <v>0</v>
      </c>
      <c r="G7" s="4" t="n">
        <v>0</v>
      </c>
      <c r="H7" s="4" t="n">
        <v>17</v>
      </c>
      <c r="I7" s="4" t="n">
        <v>30194.01</v>
      </c>
      <c r="J7" s="4">
        <f>B7+D7+F7+G7+H7</f>
        <v/>
      </c>
      <c r="K7" s="5" t="n">
        <v>1294875.2</v>
      </c>
      <c r="L7" s="4" t="n">
        <v>1.5</v>
      </c>
      <c r="M7" s="6" t="n">
        <v>0.3411</v>
      </c>
      <c r="N7" s="4" t="n">
        <v>8</v>
      </c>
      <c r="O7" s="6" t="n">
        <v>0.8929</v>
      </c>
      <c r="P7" s="6" t="n">
        <v>0.7209</v>
      </c>
    </row>
    <row r="8">
      <c r="A8" s="7" t="inlineStr">
        <is>
          <t>2026-07</t>
        </is>
      </c>
      <c r="B8" s="7" t="n">
        <v>175</v>
      </c>
      <c r="C8" s="8" t="n">
        <v>1340028.1</v>
      </c>
      <c r="D8" s="7" t="n">
        <v>29</v>
      </c>
      <c r="E8" s="8" t="n">
        <v>340126.28</v>
      </c>
      <c r="F8" s="7" t="n">
        <v>0</v>
      </c>
      <c r="G8" s="7" t="n">
        <v>0</v>
      </c>
      <c r="H8" s="7" t="n">
        <v>18</v>
      </c>
      <c r="I8" s="7" t="n">
        <v>23237.9</v>
      </c>
      <c r="J8" s="7">
        <f>B8+D8+F8+G8+H8</f>
        <v/>
      </c>
      <c r="K8" s="8" t="n">
        <v>1703392.28</v>
      </c>
      <c r="L8" s="7" t="n">
        <v>1.18</v>
      </c>
      <c r="M8" s="9" t="n">
        <v>0.2928</v>
      </c>
      <c r="N8" s="7" t="n">
        <v>8</v>
      </c>
      <c r="O8" s="9" t="n">
        <v>0.9777</v>
      </c>
      <c r="P8" s="9" t="n">
        <v>0.6304</v>
      </c>
    </row>
    <row r="9">
      <c r="A9" s="10" t="inlineStr">
        <is>
          <t>2026-08</t>
        </is>
      </c>
      <c r="B9" s="10" t="n">
        <v>77</v>
      </c>
      <c r="C9" s="11" t="n">
        <v>576083.34</v>
      </c>
      <c r="D9" s="10" t="n">
        <v>23</v>
      </c>
      <c r="E9" s="11" t="n">
        <v>301111.28</v>
      </c>
      <c r="F9" s="10" t="n">
        <v>5</v>
      </c>
      <c r="G9" s="10" t="n">
        <v>15</v>
      </c>
      <c r="H9" s="10" t="n">
        <v>16</v>
      </c>
      <c r="I9" s="10" t="n">
        <v>31001.36</v>
      </c>
      <c r="J9" s="10">
        <f>B9+D9+F9+G9+H9</f>
        <v/>
      </c>
      <c r="K9" s="11" t="n">
        <v>908195.98</v>
      </c>
      <c r="L9" s="10" t="n">
        <v>1.61</v>
      </c>
      <c r="M9" s="12" t="n">
        <v>0.1176</v>
      </c>
      <c r="N9" s="10" t="n">
        <v>8</v>
      </c>
      <c r="O9" s="12" t="n">
        <v>0.9506</v>
      </c>
      <c r="P9" s="12" t="n">
        <v>0.6216</v>
      </c>
    </row>
    <row r="11">
      <c r="A11" s="13" t="inlineStr">
        <is>
          <t>TOTAL</t>
        </is>
      </c>
      <c r="B11" s="13">
        <f>SUM(B5:B9)</f>
        <v/>
      </c>
      <c r="C11" s="14">
        <f>SUM(C5:C9)</f>
        <v/>
      </c>
      <c r="D11" s="13">
        <f>SUM(D5:D9)</f>
        <v/>
      </c>
      <c r="E11" s="14">
        <f>SUM(E5:E9)</f>
        <v/>
      </c>
      <c r="F11" s="13">
        <f>SUM(F5:F9)</f>
        <v/>
      </c>
      <c r="G11" s="13">
        <f>SUM(G5:G9)</f>
        <v/>
      </c>
      <c r="H11" s="13">
        <f>SUM(H5:H9)</f>
        <v/>
      </c>
      <c r="I11" s="13" t="n"/>
      <c r="J11" s="13">
        <f>SUM(J5:J9)</f>
        <v/>
      </c>
      <c r="K11" s="14">
        <f>SUM(K5:K9)</f>
        <v/>
      </c>
      <c r="L11" s="13" t="n"/>
      <c r="M11" s="13" t="n"/>
      <c r="N11" s="13" t="n"/>
      <c r="O11" s="13" t="n"/>
      <c r="P11" s="13" t="n"/>
    </row>
    <row r="13">
      <c r="A13" s="2" t="inlineStr">
        <is>
          <t>Las celdas de Total Ops y los porcentajes son FORMULAS de Excel, no valores pegados: se ve de donde sale cada numero y el libro recalcula si se corrige un dato a mano.</t>
        </is>
      </c>
    </row>
    <row r="15">
      <c r="A15" s="2" t="inlineStr">
        <is>
          <t>K1/K2: Pago Lote. K3/K4: Deposito Lote CTS.</t>
        </is>
      </c>
    </row>
    <row r="17">
      <c r="A17" s="2" t="inlineStr">
        <is>
          <t>K5 = MAX/MIN ops de asistentes. K5a = ops del analista / total.</t>
        </is>
      </c>
    </row>
    <row r="19">
      <c r="A19" s="2" t="inlineStr">
        <is>
          <t>% Absorcion = de lo que YA esta dentro del alcance (agencias incorporadas), cuanto lo ejecuta el equipo vs. cuanto lo sigue haciendo la agencia por su cuenta. NO es cobertura geografica (esa es K6b) -- es el mismo dato que K6a, mostrado aca junto al volumen del mes.</t>
        </is>
      </c>
    </row>
    <row r="21">
      <c r="A21" s="2" t="inlineStr">
        <is>
          <t>Operadores, Persona-dias, Dias con actividad/calendario y Ops/dia NO estan en esta tabla: son variables de calculo, no KPIs en si -- estan completas y explicadas en la seccion K7.</t>
        </is>
      </c>
    </row>
    <row r="25" ht="22" customHeight="1">
      <c r="A25" s="1" t="inlineStr">
        <is>
          <t>DETALLE POR OPERADOR</t>
        </is>
      </c>
    </row>
    <row r="26">
      <c r="A26" s="3" t="inlineStr">
        <is>
          <t>Mes</t>
        </is>
      </c>
      <c r="B26" s="3" t="inlineStr">
        <is>
          <t>Usuario</t>
        </is>
      </c>
      <c r="C26" s="3" t="inlineStr">
        <is>
          <t>Rol</t>
        </is>
      </c>
      <c r="D26" s="3" t="inlineStr">
        <is>
          <t>Ops Pago</t>
        </is>
      </c>
      <c r="E26" s="3" t="inlineStr">
        <is>
          <t>Monto Pago</t>
        </is>
      </c>
      <c r="F26" s="3" t="inlineStr">
        <is>
          <t>Ops CTS</t>
        </is>
      </c>
      <c r="G26" s="3" t="inlineStr">
        <is>
          <t>Monto CTS</t>
        </is>
      </c>
      <c r="H26" s="3" t="inlineStr">
        <is>
          <t>Ops Apertura</t>
        </is>
      </c>
      <c r="I26" s="3" t="inlineStr">
        <is>
          <t>Ops Pendientes x Devolver</t>
        </is>
      </c>
      <c r="J26" s="3" t="inlineStr">
        <is>
          <t>Total Ops</t>
        </is>
      </c>
      <c r="K26" s="3" t="inlineStr">
        <is>
          <t>Total Monto</t>
        </is>
      </c>
      <c r="L26" s="3" t="inlineStr">
        <is>
          <t>Dias Activos</t>
        </is>
      </c>
      <c r="M26" s="3" t="inlineStr">
        <is>
          <t>Ops/Dia</t>
        </is>
      </c>
    </row>
    <row r="27">
      <c r="A27" s="4" t="inlineStr">
        <is>
          <t>2026-04</t>
        </is>
      </c>
      <c r="B27" s="4" t="inlineStr">
        <is>
          <t>ANALISTA1</t>
        </is>
      </c>
      <c r="C27" s="4" t="inlineStr">
        <is>
          <t>Analista</t>
        </is>
      </c>
      <c r="D27" s="4" t="n">
        <v>1</v>
      </c>
      <c r="E27" s="5" t="n">
        <v>12768.5</v>
      </c>
      <c r="F27" s="4" t="n">
        <v>2</v>
      </c>
      <c r="G27" s="5" t="n">
        <v>36909.88</v>
      </c>
      <c r="H27" s="4" t="n">
        <v>0</v>
      </c>
      <c r="I27" s="4" t="n">
        <v>1</v>
      </c>
      <c r="J27" s="4" t="n">
        <v>4</v>
      </c>
      <c r="K27" s="5" t="n">
        <v>51032.07</v>
      </c>
      <c r="L27" s="4" t="n">
        <v>4</v>
      </c>
      <c r="M27" s="4" t="n">
        <v>1</v>
      </c>
    </row>
    <row r="28">
      <c r="A28" s="7" t="inlineStr">
        <is>
          <t>2026-04</t>
        </is>
      </c>
      <c r="B28" s="7" t="inlineStr">
        <is>
          <t>APOYO01</t>
        </is>
      </c>
      <c r="C28" s="7" t="inlineStr">
        <is>
          <t>Apoyo/Otro</t>
        </is>
      </c>
      <c r="D28" s="7" t="n">
        <v>13</v>
      </c>
      <c r="E28" s="8" t="n">
        <v>120878.44</v>
      </c>
      <c r="F28" s="7" t="n">
        <v>5</v>
      </c>
      <c r="G28" s="8" t="n">
        <v>56077.72</v>
      </c>
      <c r="H28" s="7" t="n">
        <v>0</v>
      </c>
      <c r="I28" s="7" t="n">
        <v>4</v>
      </c>
      <c r="J28" s="7" t="n">
        <v>22</v>
      </c>
      <c r="K28" s="8" t="n">
        <v>184864.69</v>
      </c>
      <c r="L28" s="7" t="n">
        <v>6</v>
      </c>
      <c r="M28" s="7" t="n">
        <v>3.7</v>
      </c>
    </row>
    <row r="29">
      <c r="A29" s="4" t="inlineStr">
        <is>
          <t>2026-04</t>
        </is>
      </c>
      <c r="B29" s="4" t="inlineStr">
        <is>
          <t>APOYO02</t>
        </is>
      </c>
      <c r="C29" s="4" t="inlineStr">
        <is>
          <t>Apoyo/Otro</t>
        </is>
      </c>
      <c r="D29" s="4" t="n">
        <v>11</v>
      </c>
      <c r="E29" s="5" t="n">
        <v>64932.55</v>
      </c>
      <c r="F29" s="4" t="n">
        <v>6</v>
      </c>
      <c r="G29" s="5" t="n">
        <v>83638.95</v>
      </c>
      <c r="H29" s="4" t="n">
        <v>0</v>
      </c>
      <c r="I29" s="4" t="n">
        <v>4</v>
      </c>
      <c r="J29" s="4" t="n">
        <v>21</v>
      </c>
      <c r="K29" s="5" t="n">
        <v>155031.49</v>
      </c>
      <c r="L29" s="4" t="n">
        <v>6</v>
      </c>
      <c r="M29" s="4" t="n">
        <v>3.5</v>
      </c>
    </row>
    <row r="30">
      <c r="A30" s="7" t="inlineStr">
        <is>
          <t>2026-04</t>
        </is>
      </c>
      <c r="B30" s="7" t="inlineStr">
        <is>
          <t>ASISTENTE1</t>
        </is>
      </c>
      <c r="C30" s="7" t="inlineStr">
        <is>
          <t>Asistente 1</t>
        </is>
      </c>
      <c r="D30" s="7" t="n">
        <v>0</v>
      </c>
      <c r="E30" s="8" t="n">
        <v>0</v>
      </c>
      <c r="F30" s="7" t="n">
        <v>0</v>
      </c>
      <c r="G30" s="8" t="n">
        <v>0</v>
      </c>
      <c r="H30" s="7" t="n">
        <v>0</v>
      </c>
      <c r="I30" s="7" t="n">
        <v>1</v>
      </c>
      <c r="J30" s="7" t="n">
        <v>1</v>
      </c>
      <c r="K30" s="8" t="n">
        <v>973.99</v>
      </c>
      <c r="L30" s="7" t="n">
        <v>1</v>
      </c>
      <c r="M30" s="7" t="n">
        <v>1</v>
      </c>
    </row>
    <row r="31">
      <c r="A31" s="4" t="inlineStr">
        <is>
          <t>2026-05</t>
        </is>
      </c>
      <c r="B31" s="4" t="inlineStr">
        <is>
          <t>ANALISTA1</t>
        </is>
      </c>
      <c r="C31" s="4" t="inlineStr">
        <is>
          <t>Analista</t>
        </is>
      </c>
      <c r="D31" s="4" t="n">
        <v>2</v>
      </c>
      <c r="E31" s="5" t="n">
        <v>8138.24</v>
      </c>
      <c r="F31" s="4" t="n">
        <v>23</v>
      </c>
      <c r="G31" s="5" t="n">
        <v>276150.75</v>
      </c>
      <c r="H31" s="4" t="n">
        <v>0</v>
      </c>
      <c r="I31" s="4" t="n">
        <v>2</v>
      </c>
      <c r="J31" s="4" t="n">
        <v>27</v>
      </c>
      <c r="K31" s="5" t="n">
        <v>288064.73</v>
      </c>
      <c r="L31" s="4" t="n">
        <v>15</v>
      </c>
      <c r="M31" s="4" t="n">
        <v>1.8</v>
      </c>
    </row>
    <row r="32">
      <c r="A32" s="7" t="inlineStr">
        <is>
          <t>2026-05</t>
        </is>
      </c>
      <c r="B32" s="7" t="inlineStr">
        <is>
          <t>APOYO01</t>
        </is>
      </c>
      <c r="C32" s="7" t="inlineStr">
        <is>
          <t>Apoyo/Otro</t>
        </is>
      </c>
      <c r="D32" s="7" t="n">
        <v>2</v>
      </c>
      <c r="E32" s="8" t="n">
        <v>8224.129999999999</v>
      </c>
      <c r="F32" s="7" t="n">
        <v>6</v>
      </c>
      <c r="G32" s="8" t="n">
        <v>97181.03999999999</v>
      </c>
      <c r="H32" s="7" t="n">
        <v>0</v>
      </c>
      <c r="I32" s="7" t="n">
        <v>0</v>
      </c>
      <c r="J32" s="7" t="n">
        <v>8</v>
      </c>
      <c r="K32" s="8" t="n">
        <v>105405.17</v>
      </c>
      <c r="L32" s="7" t="n">
        <v>7</v>
      </c>
      <c r="M32" s="7" t="n">
        <v>1.1</v>
      </c>
    </row>
    <row r="33">
      <c r="A33" s="4" t="inlineStr">
        <is>
          <t>2026-05</t>
        </is>
      </c>
      <c r="B33" s="4" t="inlineStr">
        <is>
          <t>APOYO02</t>
        </is>
      </c>
      <c r="C33" s="4" t="inlineStr">
        <is>
          <t>Apoyo/Otro</t>
        </is>
      </c>
      <c r="D33" s="4" t="n">
        <v>0</v>
      </c>
      <c r="E33" s="5" t="n">
        <v>0</v>
      </c>
      <c r="F33" s="4" t="n">
        <v>3</v>
      </c>
      <c r="G33" s="5" t="n">
        <v>29378.62</v>
      </c>
      <c r="H33" s="4" t="n">
        <v>0</v>
      </c>
      <c r="I33" s="4" t="n">
        <v>0</v>
      </c>
      <c r="J33" s="4" t="n">
        <v>3</v>
      </c>
      <c r="K33" s="5" t="n">
        <v>29378.62</v>
      </c>
      <c r="L33" s="4" t="n">
        <v>3</v>
      </c>
      <c r="M33" s="4" t="n">
        <v>1</v>
      </c>
    </row>
    <row r="34">
      <c r="A34" s="7" t="inlineStr">
        <is>
          <t>2026-05</t>
        </is>
      </c>
      <c r="B34" s="7" t="inlineStr">
        <is>
          <t>ASISTENTE1</t>
        </is>
      </c>
      <c r="C34" s="7" t="inlineStr">
        <is>
          <t>Asistente 1</t>
        </is>
      </c>
      <c r="D34" s="7" t="n">
        <v>10</v>
      </c>
      <c r="E34" s="8" t="n">
        <v>54832.32</v>
      </c>
      <c r="F34" s="7" t="n">
        <v>100</v>
      </c>
      <c r="G34" s="8" t="n">
        <v>1348898.74</v>
      </c>
      <c r="H34" s="7" t="n">
        <v>0</v>
      </c>
      <c r="I34" s="7" t="n">
        <v>4</v>
      </c>
      <c r="J34" s="7" t="n">
        <v>114</v>
      </c>
      <c r="K34" s="8" t="n">
        <v>1409231.89</v>
      </c>
      <c r="L34" s="7" t="n">
        <v>23</v>
      </c>
      <c r="M34" s="7" t="n">
        <v>5</v>
      </c>
    </row>
    <row r="35">
      <c r="A35" s="4" t="inlineStr">
        <is>
          <t>2026-05</t>
        </is>
      </c>
      <c r="B35" s="4" t="inlineStr">
        <is>
          <t>ASISTENTE2</t>
        </is>
      </c>
      <c r="C35" s="4" t="inlineStr">
        <is>
          <t>Asistente 2</t>
        </is>
      </c>
      <c r="D35" s="4" t="n">
        <v>10</v>
      </c>
      <c r="E35" s="5" t="n">
        <v>63023.35</v>
      </c>
      <c r="F35" s="4" t="n">
        <v>86</v>
      </c>
      <c r="G35" s="5" t="n">
        <v>1297208.93</v>
      </c>
      <c r="H35" s="4" t="n">
        <v>0</v>
      </c>
      <c r="I35" s="4" t="n">
        <v>5</v>
      </c>
      <c r="J35" s="4" t="n">
        <v>101</v>
      </c>
      <c r="K35" s="5" t="n">
        <v>1365375.25</v>
      </c>
      <c r="L35" s="4" t="n">
        <v>22</v>
      </c>
      <c r="M35" s="4" t="n">
        <v>4.6</v>
      </c>
    </row>
    <row r="36">
      <c r="A36" s="7" t="inlineStr">
        <is>
          <t>2026-06</t>
        </is>
      </c>
      <c r="B36" s="7" t="inlineStr">
        <is>
          <t>ANALISTA1</t>
        </is>
      </c>
      <c r="C36" s="7" t="inlineStr">
        <is>
          <t>Analista</t>
        </is>
      </c>
      <c r="D36" s="7" t="n">
        <v>18</v>
      </c>
      <c r="E36" s="8" t="n">
        <v>120312.51</v>
      </c>
      <c r="F36" s="7" t="n">
        <v>22</v>
      </c>
      <c r="G36" s="8" t="n">
        <v>283683.37</v>
      </c>
      <c r="H36" s="7" t="n">
        <v>0</v>
      </c>
      <c r="I36" s="7" t="n">
        <v>4</v>
      </c>
      <c r="J36" s="7" t="n">
        <v>44</v>
      </c>
      <c r="K36" s="8" t="n">
        <v>411595.64</v>
      </c>
      <c r="L36" s="7" t="n">
        <v>19</v>
      </c>
      <c r="M36" s="7" t="n">
        <v>2.3</v>
      </c>
    </row>
    <row r="37">
      <c r="A37" s="4" t="inlineStr">
        <is>
          <t>2026-06</t>
        </is>
      </c>
      <c r="B37" s="4" t="inlineStr">
        <is>
          <t>ASISTENTE1</t>
        </is>
      </c>
      <c r="C37" s="4" t="inlineStr">
        <is>
          <t>Asistente 1</t>
        </is>
      </c>
      <c r="D37" s="4" t="n">
        <v>12</v>
      </c>
      <c r="E37" s="5" t="n">
        <v>73595.72</v>
      </c>
      <c r="F37" s="4" t="n">
        <v>16</v>
      </c>
      <c r="G37" s="5" t="n">
        <v>270754.23</v>
      </c>
      <c r="H37" s="4" t="n">
        <v>0</v>
      </c>
      <c r="I37" s="4" t="n">
        <v>6</v>
      </c>
      <c r="J37" s="4" t="n">
        <v>34</v>
      </c>
      <c r="K37" s="5" t="n">
        <v>353182.7</v>
      </c>
      <c r="L37" s="4" t="n">
        <v>16</v>
      </c>
      <c r="M37" s="4" t="n">
        <v>2.1</v>
      </c>
    </row>
    <row r="38">
      <c r="A38" s="7" t="inlineStr">
        <is>
          <t>2026-06</t>
        </is>
      </c>
      <c r="B38" s="7" t="inlineStr">
        <is>
          <t>ASISTENTE2</t>
        </is>
      </c>
      <c r="C38" s="7" t="inlineStr">
        <is>
          <t>Asistente 2</t>
        </is>
      </c>
      <c r="D38" s="7" t="n">
        <v>20</v>
      </c>
      <c r="E38" s="8" t="n">
        <v>155144.53</v>
      </c>
      <c r="F38" s="7" t="n">
        <v>24</v>
      </c>
      <c r="G38" s="8" t="n">
        <v>361190.83</v>
      </c>
      <c r="H38" s="7" t="n">
        <v>0</v>
      </c>
      <c r="I38" s="7" t="n">
        <v>7</v>
      </c>
      <c r="J38" s="7" t="n">
        <v>51</v>
      </c>
      <c r="K38" s="8" t="n">
        <v>530096.86</v>
      </c>
      <c r="L38" s="7" t="n">
        <v>19</v>
      </c>
      <c r="M38" s="7" t="n">
        <v>2.7</v>
      </c>
    </row>
    <row r="39">
      <c r="A39" s="4" t="inlineStr">
        <is>
          <t>2026-07</t>
        </is>
      </c>
      <c r="B39" s="4" t="inlineStr">
        <is>
          <t>ANALISTA1</t>
        </is>
      </c>
      <c r="C39" s="4" t="inlineStr">
        <is>
          <t>Analista</t>
        </is>
      </c>
      <c r="D39" s="4" t="n">
        <v>52</v>
      </c>
      <c r="E39" s="5" t="n">
        <v>444767.67</v>
      </c>
      <c r="F39" s="4" t="n">
        <v>10</v>
      </c>
      <c r="G39" s="5" t="n">
        <v>101878.94</v>
      </c>
      <c r="H39" s="4" t="n">
        <v>0</v>
      </c>
      <c r="I39" s="4" t="n">
        <v>3</v>
      </c>
      <c r="J39" s="4" t="n">
        <v>65</v>
      </c>
      <c r="K39" s="5" t="n">
        <v>549486.54</v>
      </c>
      <c r="L39" s="4" t="n">
        <v>19</v>
      </c>
      <c r="M39" s="4" t="n">
        <v>3.4</v>
      </c>
    </row>
    <row r="40">
      <c r="A40" s="7" t="inlineStr">
        <is>
          <t>2026-07</t>
        </is>
      </c>
      <c r="B40" s="7" t="inlineStr">
        <is>
          <t>ASISTENTE1</t>
        </is>
      </c>
      <c r="C40" s="7" t="inlineStr">
        <is>
          <t>Asistente 1</t>
        </is>
      </c>
      <c r="D40" s="7" t="n">
        <v>68</v>
      </c>
      <c r="E40" s="8" t="n">
        <v>506111.29</v>
      </c>
      <c r="F40" s="7" t="n">
        <v>8</v>
      </c>
      <c r="G40" s="8" t="n">
        <v>99376.86</v>
      </c>
      <c r="H40" s="7" t="n">
        <v>0</v>
      </c>
      <c r="I40" s="7" t="n">
        <v>9</v>
      </c>
      <c r="J40" s="7" t="n">
        <v>85</v>
      </c>
      <c r="K40" s="8" t="n">
        <v>617631.55</v>
      </c>
      <c r="L40" s="7" t="n">
        <v>21</v>
      </c>
      <c r="M40" s="7" t="n">
        <v>4</v>
      </c>
    </row>
    <row r="41">
      <c r="A41" s="4" t="inlineStr">
        <is>
          <t>2026-07</t>
        </is>
      </c>
      <c r="B41" s="4" t="inlineStr">
        <is>
          <t>ASISTENTE2</t>
        </is>
      </c>
      <c r="C41" s="4" t="inlineStr">
        <is>
          <t>Asistente 2</t>
        </is>
      </c>
      <c r="D41" s="4" t="n">
        <v>55</v>
      </c>
      <c r="E41" s="5" t="n">
        <v>389149.14</v>
      </c>
      <c r="F41" s="4" t="n">
        <v>11</v>
      </c>
      <c r="G41" s="5" t="n">
        <v>138870.48</v>
      </c>
      <c r="H41" s="4" t="n">
        <v>0</v>
      </c>
      <c r="I41" s="4" t="n">
        <v>6</v>
      </c>
      <c r="J41" s="4" t="n">
        <v>72</v>
      </c>
      <c r="K41" s="5" t="n">
        <v>536274.1899999999</v>
      </c>
      <c r="L41" s="4" t="n">
        <v>21</v>
      </c>
      <c r="M41" s="4" t="n">
        <v>3.4</v>
      </c>
    </row>
    <row r="42">
      <c r="A42" s="10" t="inlineStr">
        <is>
          <t>2026-08</t>
        </is>
      </c>
      <c r="B42" s="10" t="inlineStr">
        <is>
          <t>ANALISTA1</t>
        </is>
      </c>
      <c r="C42" s="10" t="inlineStr">
        <is>
          <t>Analista</t>
        </is>
      </c>
      <c r="D42" s="10" t="n">
        <v>11</v>
      </c>
      <c r="E42" s="11" t="n">
        <v>74341.87</v>
      </c>
      <c r="F42" s="10" t="n">
        <v>3</v>
      </c>
      <c r="G42" s="11" t="n">
        <v>28884.9</v>
      </c>
      <c r="H42" s="10" t="n">
        <v>1</v>
      </c>
      <c r="I42" s="10" t="n">
        <v>1</v>
      </c>
      <c r="J42" s="10" t="n">
        <v>16</v>
      </c>
      <c r="K42" s="11" t="n">
        <v>105155.83</v>
      </c>
      <c r="L42" s="10" t="n">
        <v>7</v>
      </c>
      <c r="M42" s="10" t="n">
        <v>2.3</v>
      </c>
    </row>
    <row r="43">
      <c r="A43" s="10" t="inlineStr">
        <is>
          <t>2026-08</t>
        </is>
      </c>
      <c r="B43" s="10" t="inlineStr">
        <is>
          <t>APOYO01</t>
        </is>
      </c>
      <c r="C43" s="10" t="inlineStr">
        <is>
          <t>Apoyo/Otro</t>
        </is>
      </c>
      <c r="D43" s="10" t="n">
        <v>2</v>
      </c>
      <c r="E43" s="11" t="n">
        <v>13685.14</v>
      </c>
      <c r="F43" s="10" t="n">
        <v>1</v>
      </c>
      <c r="G43" s="11" t="n">
        <v>20579.48</v>
      </c>
      <c r="H43" s="10" t="n">
        <v>1</v>
      </c>
      <c r="I43" s="10" t="n">
        <v>1</v>
      </c>
      <c r="J43" s="10" t="n">
        <v>5</v>
      </c>
      <c r="K43" s="11" t="n">
        <v>37118.43</v>
      </c>
      <c r="L43" s="10" t="n">
        <v>4</v>
      </c>
      <c r="M43" s="10" t="n">
        <v>1.2</v>
      </c>
    </row>
    <row r="44">
      <c r="A44" s="10" t="inlineStr">
        <is>
          <t>2026-08</t>
        </is>
      </c>
      <c r="B44" s="10" t="inlineStr">
        <is>
          <t>ASISTENTE1</t>
        </is>
      </c>
      <c r="C44" s="10" t="inlineStr">
        <is>
          <t>Asistente 1</t>
        </is>
      </c>
      <c r="D44" s="10" t="n">
        <v>37</v>
      </c>
      <c r="E44" s="11" t="n">
        <v>284449.11</v>
      </c>
      <c r="F44" s="10" t="n">
        <v>12</v>
      </c>
      <c r="G44" s="11" t="n">
        <v>136770.84</v>
      </c>
      <c r="H44" s="10" t="n">
        <v>11</v>
      </c>
      <c r="I44" s="10" t="n">
        <v>11</v>
      </c>
      <c r="J44" s="10" t="n">
        <v>71</v>
      </c>
      <c r="K44" s="11" t="n">
        <v>439517.62</v>
      </c>
      <c r="L44" s="10" t="n">
        <v>9</v>
      </c>
      <c r="M44" s="10" t="n">
        <v>7.9</v>
      </c>
    </row>
    <row r="45">
      <c r="A45" s="10" t="inlineStr">
        <is>
          <t>2026-08</t>
        </is>
      </c>
      <c r="B45" s="10" t="inlineStr">
        <is>
          <t>ASISTENTE2</t>
        </is>
      </c>
      <c r="C45" s="10" t="inlineStr">
        <is>
          <t>Asistente 2</t>
        </is>
      </c>
      <c r="D45" s="10" t="n">
        <v>27</v>
      </c>
      <c r="E45" s="11" t="n">
        <v>203607.22</v>
      </c>
      <c r="F45" s="10" t="n">
        <v>7</v>
      </c>
      <c r="G45" s="11" t="n">
        <v>114876.06</v>
      </c>
      <c r="H45" s="10" t="n">
        <v>7</v>
      </c>
      <c r="I45" s="10" t="n">
        <v>3</v>
      </c>
      <c r="J45" s="10" t="n">
        <v>44</v>
      </c>
      <c r="K45" s="11" t="n">
        <v>326404.1</v>
      </c>
      <c r="L45" s="10" t="n">
        <v>9</v>
      </c>
      <c r="M45" s="10" t="n">
        <v>4.9</v>
      </c>
    </row>
    <row r="48" ht="22" customHeight="1">
      <c r="A48" s="1" t="inlineStr">
        <is>
          <t>K7 · EFICIENCIA OPERATIVA</t>
        </is>
      </c>
    </row>
    <row r="49">
      <c r="A49" s="2" t="inlineStr">
        <is>
          <t>Persona-dias = cuantas persona-dias trabajo el equipo ese mes (incluye al personal de apoyo, ver detalle abajo). Ops/dia = Total Ops / Persona-dias: el ritmo real del equipo.</t>
        </is>
      </c>
    </row>
    <row r="51">
      <c r="A51" s="2" t="inlineStr">
        <is>
          <t>Clase del mes: NORMAL = comparable. PARCIAL = pocos dias trabajados frente a los habiles (ej. un piloto). ATIPICO = se trabajo sabado/feriado (ej. una avalancha estacional). EN CURSO = reporte cortado a mitad de mes. Solo los meses NORMAL sirven de vara.</t>
        </is>
      </c>
    </row>
    <row r="53">
      <c r="A53" s="2" t="inlineStr">
        <is>
          <t>Ritmo vs Pico = ritmo del mes / ritmo del 'Mes Pico Ref.' (el NORMAL mas alto). Brecha Capacidad = cuantas operaciones faltarian para igualar ese ritmo; queda vacia en meses no comparables, donde no significa nada.</t>
        </is>
      </c>
    </row>
    <row r="55">
      <c r="A55" s="3" t="inlineStr">
        <is>
          <t>Mes</t>
        </is>
      </c>
      <c r="B55" s="3" t="inlineStr">
        <is>
          <t>Clase</t>
        </is>
      </c>
      <c r="C55" s="3" t="inlineStr">
        <is>
          <t>Total Ops</t>
        </is>
      </c>
      <c r="D55" s="3" t="inlineStr">
        <is>
          <t>Operadores Activos</t>
        </is>
      </c>
      <c r="E55" s="3" t="inlineStr">
        <is>
          <t>Dias con Actividad</t>
        </is>
      </c>
      <c r="F55" s="3" t="inlineStr">
        <is>
          <t>Ops/Dia (persona-dia)</t>
        </is>
      </c>
      <c r="G55" s="3" t="inlineStr">
        <is>
          <t>Mes Pico Ref.</t>
        </is>
      </c>
      <c r="H55" s="3" t="inlineStr">
        <is>
          <t>Ritmo vs Pico (%)</t>
        </is>
      </c>
      <c r="I55" s="3" t="inlineStr">
        <is>
          <t>Brecha Capacidad (ops)</t>
        </is>
      </c>
      <c r="J55" s="3" t="inlineStr">
        <is>
          <t>Nota</t>
        </is>
      </c>
    </row>
    <row r="56">
      <c r="A56" s="7" t="inlineStr">
        <is>
          <t>2026-04</t>
        </is>
      </c>
      <c r="B56" s="7" t="inlineStr">
        <is>
          <t>PARCIAL</t>
        </is>
      </c>
      <c r="C56" s="7" t="n">
        <v>48</v>
      </c>
      <c r="D56" s="7" t="n">
        <v>4</v>
      </c>
      <c r="E56" s="7" t="n">
        <v>6</v>
      </c>
      <c r="F56" s="7" t="n">
        <v>2.8</v>
      </c>
      <c r="G56" s="7" t="inlineStr">
        <is>
          <t>2026-07</t>
        </is>
      </c>
      <c r="H56" s="9" t="n">
        <v>0.7758</v>
      </c>
      <c r="I56" s="7" t="inlineStr"/>
      <c r="J56" s="7" t="inlineStr">
        <is>
          <t>Mes PARCIAL - no comparable: Solo 6 dias de actividad de 20 habiles</t>
        </is>
      </c>
    </row>
    <row r="57">
      <c r="A57" s="4" t="inlineStr">
        <is>
          <t>2026-05</t>
        </is>
      </c>
      <c r="B57" s="4" t="inlineStr">
        <is>
          <t>ATIPICO</t>
        </is>
      </c>
      <c r="C57" s="4" t="n">
        <v>253</v>
      </c>
      <c r="D57" s="4" t="n">
        <v>5</v>
      </c>
      <c r="E57" s="4" t="n">
        <v>23</v>
      </c>
      <c r="F57" s="4" t="n">
        <v>3.6</v>
      </c>
      <c r="G57" s="4" t="inlineStr">
        <is>
          <t>2026-07</t>
        </is>
      </c>
      <c r="H57" s="6" t="n">
        <v>0.9931</v>
      </c>
      <c r="I57" s="4" t="inlineStr"/>
      <c r="J57" s="4" t="inlineStr">
        <is>
          <t>Mes ATIPICO - no comparable: 23 dias de actividad vs 20 habiles (sobretiempo)</t>
        </is>
      </c>
    </row>
    <row r="58">
      <c r="A58" s="7" t="inlineStr">
        <is>
          <t>2026-06</t>
        </is>
      </c>
      <c r="B58" s="7" t="inlineStr">
        <is>
          <t>NORMAL</t>
        </is>
      </c>
      <c r="C58" s="7" t="n">
        <v>129</v>
      </c>
      <c r="D58" s="7" t="n">
        <v>3</v>
      </c>
      <c r="E58" s="7" t="n">
        <v>20</v>
      </c>
      <c r="F58" s="7" t="n">
        <v>2.4</v>
      </c>
      <c r="G58" s="7" t="inlineStr">
        <is>
          <t>2026-07</t>
        </is>
      </c>
      <c r="H58" s="9" t="n">
        <v>0.6564</v>
      </c>
      <c r="I58" s="7" t="n">
        <v>68</v>
      </c>
      <c r="J58" s="7" t="inlineStr"/>
    </row>
    <row r="59">
      <c r="A59" s="4" t="inlineStr">
        <is>
          <t>2026-07</t>
        </is>
      </c>
      <c r="B59" s="4" t="inlineStr">
        <is>
          <t>NORMAL</t>
        </is>
      </c>
      <c r="C59" s="4" t="n">
        <v>222</v>
      </c>
      <c r="D59" s="4" t="n">
        <v>3</v>
      </c>
      <c r="E59" s="4" t="n">
        <v>21</v>
      </c>
      <c r="F59" s="4" t="n">
        <v>3.6</v>
      </c>
      <c r="G59" s="4" t="inlineStr">
        <is>
          <t>2026-07</t>
        </is>
      </c>
      <c r="H59" s="6" t="n">
        <v>1</v>
      </c>
      <c r="I59" s="4" t="n">
        <v>0</v>
      </c>
      <c r="J59" s="4" t="inlineStr"/>
    </row>
    <row r="60">
      <c r="A60" s="10" t="inlineStr">
        <is>
          <t>2026-08</t>
        </is>
      </c>
      <c r="B60" s="10" t="inlineStr">
        <is>
          <t>EN CURSO</t>
        </is>
      </c>
      <c r="C60" s="10" t="n">
        <v>136</v>
      </c>
      <c r="D60" s="10" t="n">
        <v>4</v>
      </c>
      <c r="E60" s="10" t="n">
        <v>9</v>
      </c>
      <c r="F60" s="10" t="n">
        <v>4.7</v>
      </c>
      <c r="G60" s="10" t="inlineStr">
        <is>
          <t>2026-07</t>
        </is>
      </c>
      <c r="H60" s="12" t="n">
        <v>1.2886</v>
      </c>
      <c r="I60" s="10" t="inlineStr"/>
      <c r="J60" s="10" t="inlineStr">
        <is>
          <t>Mes EN CURSO - no comparable: Reporte cortado al 18/08 - mes incompleto</t>
        </is>
      </c>
    </row>
    <row r="62" ht="22" customHeight="1">
      <c r="A62" s="1" t="inlineStr">
        <is>
          <t>K7 · DETALLE METODOLOGICO (de donde sale cada numero de arriba)</t>
        </is>
      </c>
    </row>
    <row r="63">
      <c r="A63" s="2" t="inlineStr">
        <is>
          <t>Plantilla/Apoyo = como se reparten las Persona-dias Reales entre el equipo fijo y el personal de apoyo rotativo (puede volver en cualquier momento).</t>
        </is>
      </c>
    </row>
    <row r="65">
      <c r="A65" s="2" t="inlineStr">
        <is>
          <t>Dia-activo = Total Ops / dias con actividad (ignora cuanta gente trabajo). Util en meses parciales, donde el ritmo por calendario hace parecer ocioso a un equipo que en realidad solo trabajo unos pocos dias por diseno (ej. un piloto).</t>
        </is>
      </c>
    </row>
    <row r="67">
      <c r="A67" s="2" t="inlineStr">
        <is>
          <t>Calendario = Total Ops / (operadores activos x dias habiles del mes). Responde 'que ritmo habria si todos trabajaran todos los dias habiles' -- un techo teorico, no el ritmo real.</t>
        </is>
      </c>
    </row>
    <row r="69">
      <c r="A69" s="3" t="inlineStr">
        <is>
          <t>Mes</t>
        </is>
      </c>
      <c r="B69" s="3" t="inlineStr">
        <is>
          <t>Persona-dias Plantilla</t>
        </is>
      </c>
      <c r="C69" s="3" t="inlineStr">
        <is>
          <t>Persona-dias Apoyo</t>
        </is>
      </c>
      <c r="D69" s="3" t="inlineStr">
        <is>
          <t>Ops de Apoyo</t>
        </is>
      </c>
      <c r="E69" s="3" t="inlineStr">
        <is>
          <t>Dias con Actividad</t>
        </is>
      </c>
      <c r="F69" s="3" t="inlineStr">
        <is>
          <t>Dias Calendario</t>
        </is>
      </c>
      <c r="G69" s="3" t="inlineStr">
        <is>
          <t>Ops/Dia (dia-activo)</t>
        </is>
      </c>
      <c r="H69" s="3" t="inlineStr">
        <is>
          <t>Ops/Dia (calendario)</t>
        </is>
      </c>
      <c r="I69" s="3" t="inlineStr">
        <is>
          <t>Brecha</t>
        </is>
      </c>
    </row>
    <row r="70">
      <c r="A70" s="7" t="inlineStr">
        <is>
          <t>2026-04</t>
        </is>
      </c>
      <c r="B70" s="7" t="n">
        <v>5</v>
      </c>
      <c r="C70" s="7" t="n">
        <v>12</v>
      </c>
      <c r="D70" s="7" t="n">
        <v>43</v>
      </c>
      <c r="E70" s="7" t="n">
        <v>6</v>
      </c>
      <c r="F70" s="7" t="n">
        <v>20</v>
      </c>
      <c r="G70" s="7" t="n">
        <v>8</v>
      </c>
      <c r="H70" s="7" t="n">
        <v>0.6</v>
      </c>
      <c r="I70" s="7" t="n">
        <v>2.2</v>
      </c>
    </row>
    <row r="71">
      <c r="A71" s="4" t="inlineStr">
        <is>
          <t>2026-05</t>
        </is>
      </c>
      <c r="B71" s="4" t="n">
        <v>60</v>
      </c>
      <c r="C71" s="4" t="n">
        <v>10</v>
      </c>
      <c r="D71" s="4" t="n">
        <v>11</v>
      </c>
      <c r="E71" s="4" t="n">
        <v>23</v>
      </c>
      <c r="F71" s="4" t="n">
        <v>20</v>
      </c>
      <c r="G71" s="4" t="n">
        <v>11</v>
      </c>
      <c r="H71" s="4" t="n">
        <v>2.5</v>
      </c>
      <c r="I71" s="4" t="n">
        <v>1.1</v>
      </c>
    </row>
    <row r="72">
      <c r="A72" s="7" t="inlineStr">
        <is>
          <t>2026-06</t>
        </is>
      </c>
      <c r="B72" s="7" t="n">
        <v>54</v>
      </c>
      <c r="C72" s="7" t="n">
        <v>0</v>
      </c>
      <c r="D72" s="7" t="n">
        <v>0</v>
      </c>
      <c r="E72" s="7" t="n">
        <v>20</v>
      </c>
      <c r="F72" s="7" t="n">
        <v>21</v>
      </c>
      <c r="G72" s="7" t="n">
        <v>6.5</v>
      </c>
      <c r="H72" s="7" t="n">
        <v>2</v>
      </c>
      <c r="I72" s="7" t="n">
        <v>0.3</v>
      </c>
    </row>
    <row r="73">
      <c r="A73" s="4" t="inlineStr">
        <is>
          <t>2026-07</t>
        </is>
      </c>
      <c r="B73" s="4" t="n">
        <v>61</v>
      </c>
      <c r="C73" s="4" t="n">
        <v>0</v>
      </c>
      <c r="D73" s="4" t="n">
        <v>0</v>
      </c>
      <c r="E73" s="4" t="n">
        <v>21</v>
      </c>
      <c r="F73" s="4" t="n">
        <v>21</v>
      </c>
      <c r="G73" s="4" t="n">
        <v>10.6</v>
      </c>
      <c r="H73" s="4" t="n">
        <v>3.5</v>
      </c>
      <c r="I73" s="4" t="n">
        <v>0.1</v>
      </c>
    </row>
    <row r="74">
      <c r="A74" s="10" t="inlineStr">
        <is>
          <t>2026-08</t>
        </is>
      </c>
      <c r="B74" s="10" t="n">
        <v>25</v>
      </c>
      <c r="C74" s="10" t="n">
        <v>4</v>
      </c>
      <c r="D74" s="10" t="n">
        <v>5</v>
      </c>
      <c r="E74" s="10" t="n">
        <v>9</v>
      </c>
      <c r="F74" s="10" t="n">
        <v>21</v>
      </c>
      <c r="G74" s="10" t="n">
        <v>15.1</v>
      </c>
      <c r="H74" s="10" t="n">
        <v>1.6</v>
      </c>
      <c r="I74" s="10" t="n">
        <v>3.1</v>
      </c>
    </row>
    <row r="76" ht="22" customHeight="1">
      <c r="A76" s="1" t="inlineStr">
        <is>
          <t>CARGA LABORAL · RESUMEN MENSUAL DE DIAS PICO</t>
        </is>
      </c>
    </row>
    <row r="77">
      <c r="A77" s="2" t="inlineStr">
        <is>
          <t>Dia Pico = dia con mas operaciones del mes. Dias Pico en el Mes = dias que superaron el promedio + 1 desviacion estandar del mes.</t>
        </is>
      </c>
    </row>
    <row r="79">
      <c r="A79" s="2" t="inlineStr">
        <is>
          <t>Movimientos Pago Lote (dia pico) es una APROXIMACION a corridas/cheques (agrupa por Nro de Movimiento), NO un conteo exacto: algunas agencias registran pagos partidos.</t>
        </is>
      </c>
    </row>
    <row r="81">
      <c r="A81" s="3" t="inlineStr">
        <is>
          <t>Mes</t>
        </is>
      </c>
      <c r="B81" s="3" t="inlineStr">
        <is>
          <t>Dia Pico</t>
        </is>
      </c>
      <c r="C81" s="3" t="inlineStr">
        <is>
          <t>Dia Semana Pico</t>
        </is>
      </c>
      <c r="D81" s="3" t="inlineStr">
        <is>
          <t>Ops Dia Pico</t>
        </is>
      </c>
      <c r="E81" s="3" t="inlineStr">
        <is>
          <t>Movimientos Pago Lote (dia pico)</t>
        </is>
      </c>
      <c r="F81" s="3" t="inlineStr">
        <is>
          <t>Dias Pico en el Mes</t>
        </is>
      </c>
      <c r="G81" s="3" t="inlineStr">
        <is>
          <t>Dia Semana Mas Cargado (prom.)</t>
        </is>
      </c>
    </row>
    <row r="82">
      <c r="A82" s="7" t="inlineStr">
        <is>
          <t>2026-04</t>
        </is>
      </c>
      <c r="B82" s="7" t="inlineStr">
        <is>
          <t>2026-04-20</t>
        </is>
      </c>
      <c r="C82" s="7" t="inlineStr">
        <is>
          <t>Lunes</t>
        </is>
      </c>
      <c r="D82" s="7" t="n">
        <v>11</v>
      </c>
      <c r="E82" s="7" t="n">
        <v>4</v>
      </c>
      <c r="F82" s="7" t="n">
        <v>2</v>
      </c>
      <c r="G82" s="7" t="inlineStr">
        <is>
          <t>Martes</t>
        </is>
      </c>
    </row>
    <row r="83">
      <c r="A83" s="4" t="inlineStr">
        <is>
          <t>2026-05</t>
        </is>
      </c>
      <c r="B83" s="4" t="inlineStr">
        <is>
          <t>2026-05-26</t>
        </is>
      </c>
      <c r="C83" s="4" t="inlineStr">
        <is>
          <t>Martes</t>
        </is>
      </c>
      <c r="D83" s="4" t="n">
        <v>19</v>
      </c>
      <c r="E83" s="4" t="n">
        <v>2</v>
      </c>
      <c r="F83" s="4" t="n">
        <v>2</v>
      </c>
      <c r="G83" s="4" t="inlineStr">
        <is>
          <t>Miercoles</t>
        </is>
      </c>
    </row>
    <row r="84">
      <c r="A84" s="7" t="inlineStr">
        <is>
          <t>2026-06</t>
        </is>
      </c>
      <c r="B84" s="7" t="inlineStr">
        <is>
          <t>2026-06-26</t>
        </is>
      </c>
      <c r="C84" s="7" t="inlineStr">
        <is>
          <t>Viernes</t>
        </is>
      </c>
      <c r="D84" s="7" t="n">
        <v>10</v>
      </c>
      <c r="E84" s="7" t="n">
        <v>4</v>
      </c>
      <c r="F84" s="7" t="n">
        <v>5</v>
      </c>
      <c r="G84" s="7" t="inlineStr">
        <is>
          <t>Miercoles</t>
        </is>
      </c>
    </row>
    <row r="85">
      <c r="A85" s="4" t="inlineStr">
        <is>
          <t>2026-07</t>
        </is>
      </c>
      <c r="B85" s="4" t="inlineStr">
        <is>
          <t>2026-07-14</t>
        </is>
      </c>
      <c r="C85" s="4" t="inlineStr">
        <is>
          <t>Martes</t>
        </is>
      </c>
      <c r="D85" s="4" t="n">
        <v>18</v>
      </c>
      <c r="E85" s="4" t="n">
        <v>14</v>
      </c>
      <c r="F85" s="4" t="n">
        <v>2</v>
      </c>
      <c r="G85" s="4" t="inlineStr">
        <is>
          <t>Martes</t>
        </is>
      </c>
    </row>
    <row r="86">
      <c r="A86" s="10" t="inlineStr">
        <is>
          <t>2026-08</t>
        </is>
      </c>
      <c r="B86" s="10" t="inlineStr">
        <is>
          <t>2026-08-10</t>
        </is>
      </c>
      <c r="C86" s="10" t="inlineStr">
        <is>
          <t>Lunes</t>
        </is>
      </c>
      <c r="D86" s="10" t="n">
        <v>22</v>
      </c>
      <c r="E86" s="10" t="n">
        <v>13</v>
      </c>
      <c r="F86" s="10" t="n">
        <v>1</v>
      </c>
      <c r="G86" s="10" t="inlineStr">
        <is>
          <t>Viernes</t>
        </is>
      </c>
    </row>
    <row r="88" ht="22" customHeight="1">
      <c r="A88" s="1" t="inlineStr">
        <is>
          <t>CARGA LABORAL · RESUMEN POR DIA DE SEMANA</t>
        </is>
      </c>
    </row>
    <row r="89">
      <c r="A89" s="3" t="inlineStr">
        <is>
          <t>Dia Semana</t>
        </is>
      </c>
      <c r="B89" s="3" t="inlineStr">
        <is>
          <t>Dias en el Periodo</t>
        </is>
      </c>
      <c r="C89" s="3" t="inlineStr">
        <is>
          <t>Total Ops (periodo)</t>
        </is>
      </c>
      <c r="D89" s="3" t="inlineStr">
        <is>
          <t>Promedio Ops/Dia</t>
        </is>
      </c>
      <c r="E89" s="3" t="inlineStr">
        <is>
          <t>Dias Pico</t>
        </is>
      </c>
    </row>
    <row r="90">
      <c r="A90" s="7" t="inlineStr">
        <is>
          <t>Sabado</t>
        </is>
      </c>
      <c r="B90" s="7" t="n">
        <v>2</v>
      </c>
      <c r="C90" s="7" t="n">
        <v>23</v>
      </c>
      <c r="D90" s="7" t="n">
        <v>11.5</v>
      </c>
      <c r="E90" s="7" t="n">
        <v>0</v>
      </c>
    </row>
    <row r="91">
      <c r="A91" s="4" t="inlineStr">
        <is>
          <t>Martes</t>
        </is>
      </c>
      <c r="B91" s="4" t="n">
        <v>16</v>
      </c>
      <c r="C91" s="4" t="n">
        <v>176</v>
      </c>
      <c r="D91" s="4" t="n">
        <v>11</v>
      </c>
      <c r="E91" s="4" t="n">
        <v>6</v>
      </c>
    </row>
    <row r="92">
      <c r="A92" s="7" t="inlineStr">
        <is>
          <t>Miercoles</t>
        </is>
      </c>
      <c r="B92" s="7" t="n">
        <v>15</v>
      </c>
      <c r="C92" s="7" t="n">
        <v>158</v>
      </c>
      <c r="D92" s="7" t="n">
        <v>10.5</v>
      </c>
      <c r="E92" s="7" t="n">
        <v>1</v>
      </c>
    </row>
    <row r="93">
      <c r="A93" s="4" t="inlineStr">
        <is>
          <t>Viernes</t>
        </is>
      </c>
      <c r="B93" s="4" t="n">
        <v>14</v>
      </c>
      <c r="C93" s="4" t="n">
        <v>133</v>
      </c>
      <c r="D93" s="4" t="n">
        <v>9.5</v>
      </c>
      <c r="E93" s="4" t="n">
        <v>1</v>
      </c>
    </row>
    <row r="94">
      <c r="A94" s="7" t="inlineStr">
        <is>
          <t>Lunes</t>
        </is>
      </c>
      <c r="B94" s="7" t="n">
        <v>18</v>
      </c>
      <c r="C94" s="7" t="n">
        <v>168</v>
      </c>
      <c r="D94" s="7" t="n">
        <v>9.300000000000001</v>
      </c>
      <c r="E94" s="7" t="n">
        <v>3</v>
      </c>
    </row>
    <row r="95">
      <c r="A95" s="4" t="inlineStr">
        <is>
          <t>Jueves</t>
        </is>
      </c>
      <c r="B95" s="4" t="n">
        <v>14</v>
      </c>
      <c r="C95" s="4" t="n">
        <v>130</v>
      </c>
      <c r="D95" s="4" t="n">
        <v>9.300000000000001</v>
      </c>
      <c r="E95" s="4" t="n">
        <v>1</v>
      </c>
    </row>
    <row r="97" ht="22" customHeight="1">
      <c r="A97" s="1" t="inlineStr">
        <is>
          <t>CARGA LABORAL · DETALLE DIA POR DIA (TODOS LOS DIAS DE ACTIVIDAD)</t>
        </is>
      </c>
    </row>
    <row r="98">
      <c r="A98" s="2" t="inlineStr">
        <is>
          <t>Pico = el dia supera el promedio + 1 desviacion estandar del total de operaciones de ESE mes.</t>
        </is>
      </c>
    </row>
    <row r="100">
      <c r="A100" s="3" t="inlineStr">
        <is>
          <t>Mes</t>
        </is>
      </c>
      <c r="B100" s="3" t="inlineStr">
        <is>
          <t>Dia</t>
        </is>
      </c>
      <c r="C100" s="3" t="inlineStr">
        <is>
          <t>Dia Semana</t>
        </is>
      </c>
      <c r="D100" s="3" t="inlineStr">
        <is>
          <t>Ops Pago</t>
        </is>
      </c>
      <c r="E100" s="3" t="inlineStr">
        <is>
          <t>Ops CTS</t>
        </is>
      </c>
      <c r="F100" s="3" t="inlineStr">
        <is>
          <t>Ops Apertura</t>
        </is>
      </c>
      <c r="G100" s="3" t="inlineStr">
        <is>
          <t>Ops Pendientes x Devolver</t>
        </is>
      </c>
      <c r="H100" s="3" t="inlineStr">
        <is>
          <t>Total Ops</t>
        </is>
      </c>
      <c r="I100" s="3" t="inlineStr">
        <is>
          <t>Movimientos Pago Lote</t>
        </is>
      </c>
      <c r="J100" s="3" t="inlineStr">
        <is>
          <t>Monto Total</t>
        </is>
      </c>
      <c r="K100" s="3" t="inlineStr">
        <is>
          <t>Pico</t>
        </is>
      </c>
    </row>
    <row r="101">
      <c r="A101" s="4" t="inlineStr">
        <is>
          <t>2026-04</t>
        </is>
      </c>
      <c r="B101" s="15" t="n">
        <v>46118</v>
      </c>
      <c r="C101" s="4" t="inlineStr">
        <is>
          <t>Lunes</t>
        </is>
      </c>
      <c r="D101" s="4" t="n">
        <v>6</v>
      </c>
      <c r="E101" s="4" t="n">
        <v>0</v>
      </c>
      <c r="F101" s="4" t="n">
        <v>0</v>
      </c>
      <c r="G101" s="4" t="n">
        <v>2</v>
      </c>
      <c r="H101" s="4" t="n">
        <v>8</v>
      </c>
      <c r="I101" s="4" t="n">
        <v>6</v>
      </c>
      <c r="J101" s="5" t="n">
        <v>56574.14</v>
      </c>
      <c r="K101" s="4" t="inlineStr"/>
    </row>
    <row r="102">
      <c r="A102" s="7" t="inlineStr">
        <is>
          <t>2026-04</t>
        </is>
      </c>
      <c r="B102" s="16" t="n">
        <v>46119</v>
      </c>
      <c r="C102" s="7" t="inlineStr">
        <is>
          <t>Martes</t>
        </is>
      </c>
      <c r="D102" s="7" t="n">
        <v>5</v>
      </c>
      <c r="E102" s="7" t="n">
        <v>1</v>
      </c>
      <c r="F102" s="7" t="n">
        <v>0</v>
      </c>
      <c r="G102" s="7" t="n">
        <v>4</v>
      </c>
      <c r="H102" s="7" t="n">
        <v>10</v>
      </c>
      <c r="I102" s="7" t="n">
        <v>5</v>
      </c>
      <c r="J102" s="8" t="n">
        <v>60848.53</v>
      </c>
      <c r="K102" s="7" t="inlineStr">
        <is>
          <t>SI</t>
        </is>
      </c>
    </row>
    <row r="103">
      <c r="A103" s="4" t="inlineStr">
        <is>
          <t>2026-04</t>
        </is>
      </c>
      <c r="B103" s="15" t="n">
        <v>46125</v>
      </c>
      <c r="C103" s="4" t="inlineStr">
        <is>
          <t>Lunes</t>
        </is>
      </c>
      <c r="D103" s="4" t="n">
        <v>0</v>
      </c>
      <c r="E103" s="4" t="n">
        <v>5</v>
      </c>
      <c r="F103" s="4" t="n">
        <v>0</v>
      </c>
      <c r="G103" s="4" t="n">
        <v>0</v>
      </c>
      <c r="H103" s="4" t="n">
        <v>5</v>
      </c>
      <c r="I103" s="4" t="n">
        <v>0</v>
      </c>
      <c r="J103" s="5" t="n">
        <v>65735.28999999999</v>
      </c>
      <c r="K103" s="4" t="inlineStr"/>
    </row>
    <row r="104">
      <c r="A104" s="7" t="inlineStr">
        <is>
          <t>2026-04</t>
        </is>
      </c>
      <c r="B104" s="16" t="n">
        <v>46126</v>
      </c>
      <c r="C104" s="7" t="inlineStr">
        <is>
          <t>Martes</t>
        </is>
      </c>
      <c r="D104" s="7" t="n">
        <v>5</v>
      </c>
      <c r="E104" s="7" t="n">
        <v>2</v>
      </c>
      <c r="F104" s="7" t="n">
        <v>0</v>
      </c>
      <c r="G104" s="7" t="n">
        <v>0</v>
      </c>
      <c r="H104" s="7" t="n">
        <v>7</v>
      </c>
      <c r="I104" s="7" t="n">
        <v>5</v>
      </c>
      <c r="J104" s="8" t="n">
        <v>59811.97</v>
      </c>
      <c r="K104" s="7" t="inlineStr"/>
    </row>
    <row r="105">
      <c r="A105" s="4" t="inlineStr">
        <is>
          <t>2026-04</t>
        </is>
      </c>
      <c r="B105" s="15" t="n">
        <v>46132</v>
      </c>
      <c r="C105" s="4" t="inlineStr">
        <is>
          <t>Lunes</t>
        </is>
      </c>
      <c r="D105" s="4" t="n">
        <v>4</v>
      </c>
      <c r="E105" s="4" t="n">
        <v>4</v>
      </c>
      <c r="F105" s="4" t="n">
        <v>0</v>
      </c>
      <c r="G105" s="4" t="n">
        <v>3</v>
      </c>
      <c r="H105" s="4" t="n">
        <v>11</v>
      </c>
      <c r="I105" s="4" t="n">
        <v>4</v>
      </c>
      <c r="J105" s="5" t="n">
        <v>85449.82000000001</v>
      </c>
      <c r="K105" s="4" t="inlineStr">
        <is>
          <t>SI</t>
        </is>
      </c>
    </row>
    <row r="106">
      <c r="A106" s="7" t="inlineStr">
        <is>
          <t>2026-04</t>
        </is>
      </c>
      <c r="B106" s="16" t="n">
        <v>46139</v>
      </c>
      <c r="C106" s="7" t="inlineStr">
        <is>
          <t>Lunes</t>
        </is>
      </c>
      <c r="D106" s="7" t="n">
        <v>5</v>
      </c>
      <c r="E106" s="7" t="n">
        <v>1</v>
      </c>
      <c r="F106" s="7" t="n">
        <v>0</v>
      </c>
      <c r="G106" s="7" t="n">
        <v>1</v>
      </c>
      <c r="H106" s="7" t="n">
        <v>7</v>
      </c>
      <c r="I106" s="7" t="n">
        <v>5</v>
      </c>
      <c r="J106" s="8" t="n">
        <v>63482.49</v>
      </c>
      <c r="K106" s="7" t="inlineStr"/>
    </row>
    <row r="107">
      <c r="A107" s="4" t="inlineStr">
        <is>
          <t>2026-05</t>
        </is>
      </c>
      <c r="B107" s="15" t="n">
        <v>46143</v>
      </c>
      <c r="C107" s="4" t="inlineStr">
        <is>
          <t>Viernes</t>
        </is>
      </c>
      <c r="D107" s="4" t="n">
        <v>0</v>
      </c>
      <c r="E107" s="4" t="n">
        <v>10</v>
      </c>
      <c r="F107" s="4" t="n">
        <v>0</v>
      </c>
      <c r="G107" s="4" t="n">
        <v>0</v>
      </c>
      <c r="H107" s="4" t="n">
        <v>10</v>
      </c>
      <c r="I107" s="4" t="n">
        <v>0</v>
      </c>
      <c r="J107" s="5" t="n">
        <v>179278.29</v>
      </c>
      <c r="K107" s="4" t="inlineStr"/>
    </row>
    <row r="108">
      <c r="A108" s="7" t="inlineStr">
        <is>
          <t>2026-05</t>
        </is>
      </c>
      <c r="B108" s="16" t="n">
        <v>46146</v>
      </c>
      <c r="C108" s="7" t="inlineStr">
        <is>
          <t>Lunes</t>
        </is>
      </c>
      <c r="D108" s="7" t="n">
        <v>1</v>
      </c>
      <c r="E108" s="7" t="n">
        <v>11</v>
      </c>
      <c r="F108" s="7" t="n">
        <v>0</v>
      </c>
      <c r="G108" s="7" t="n">
        <v>1</v>
      </c>
      <c r="H108" s="7" t="n">
        <v>13</v>
      </c>
      <c r="I108" s="7" t="n">
        <v>1</v>
      </c>
      <c r="J108" s="8" t="n">
        <v>150447.29</v>
      </c>
      <c r="K108" s="7" t="inlineStr"/>
    </row>
    <row r="109">
      <c r="A109" s="4" t="inlineStr">
        <is>
          <t>2026-05</t>
        </is>
      </c>
      <c r="B109" s="15" t="n">
        <v>46147</v>
      </c>
      <c r="C109" s="4" t="inlineStr">
        <is>
          <t>Martes</t>
        </is>
      </c>
      <c r="D109" s="4" t="n">
        <v>1</v>
      </c>
      <c r="E109" s="4" t="n">
        <v>8</v>
      </c>
      <c r="F109" s="4" t="n">
        <v>0</v>
      </c>
      <c r="G109" s="4" t="n">
        <v>0</v>
      </c>
      <c r="H109" s="4" t="n">
        <v>9</v>
      </c>
      <c r="I109" s="4" t="n">
        <v>1</v>
      </c>
      <c r="J109" s="5" t="n">
        <v>125042.54</v>
      </c>
      <c r="K109" s="4" t="inlineStr"/>
    </row>
    <row r="110">
      <c r="A110" s="7" t="inlineStr">
        <is>
          <t>2026-05</t>
        </is>
      </c>
      <c r="B110" s="16" t="n">
        <v>46148</v>
      </c>
      <c r="C110" s="7" t="inlineStr">
        <is>
          <t>Miercoles</t>
        </is>
      </c>
      <c r="D110" s="7" t="n">
        <v>2</v>
      </c>
      <c r="E110" s="7" t="n">
        <v>12</v>
      </c>
      <c r="F110" s="7" t="n">
        <v>0</v>
      </c>
      <c r="G110" s="7" t="n">
        <v>3</v>
      </c>
      <c r="H110" s="7" t="n">
        <v>17</v>
      </c>
      <c r="I110" s="7" t="n">
        <v>2</v>
      </c>
      <c r="J110" s="8" t="n">
        <v>173468.96</v>
      </c>
      <c r="K110" s="7" t="inlineStr">
        <is>
          <t>SI</t>
        </is>
      </c>
    </row>
    <row r="111">
      <c r="A111" s="4" t="inlineStr">
        <is>
          <t>2026-05</t>
        </is>
      </c>
      <c r="B111" s="15" t="n">
        <v>46149</v>
      </c>
      <c r="C111" s="4" t="inlineStr">
        <is>
          <t>Jueves</t>
        </is>
      </c>
      <c r="D111" s="4" t="n">
        <v>0</v>
      </c>
      <c r="E111" s="4" t="n">
        <v>13</v>
      </c>
      <c r="F111" s="4" t="n">
        <v>0</v>
      </c>
      <c r="G111" s="4" t="n">
        <v>0</v>
      </c>
      <c r="H111" s="4" t="n">
        <v>13</v>
      </c>
      <c r="I111" s="4" t="n">
        <v>0</v>
      </c>
      <c r="J111" s="5" t="n">
        <v>131115.27</v>
      </c>
      <c r="K111" s="4" t="inlineStr"/>
    </row>
    <row r="112">
      <c r="A112" s="7" t="inlineStr">
        <is>
          <t>2026-05</t>
        </is>
      </c>
      <c r="B112" s="16" t="n">
        <v>46150</v>
      </c>
      <c r="C112" s="7" t="inlineStr">
        <is>
          <t>Viernes</t>
        </is>
      </c>
      <c r="D112" s="7" t="n">
        <v>1</v>
      </c>
      <c r="E112" s="7" t="n">
        <v>12</v>
      </c>
      <c r="F112" s="7" t="n">
        <v>0</v>
      </c>
      <c r="G112" s="7" t="n">
        <v>0</v>
      </c>
      <c r="H112" s="7" t="n">
        <v>13</v>
      </c>
      <c r="I112" s="7" t="n">
        <v>1</v>
      </c>
      <c r="J112" s="8" t="n">
        <v>179560.65</v>
      </c>
      <c r="K112" s="7" t="inlineStr"/>
    </row>
    <row r="113">
      <c r="A113" s="4" t="inlineStr">
        <is>
          <t>2026-05</t>
        </is>
      </c>
      <c r="B113" s="15" t="n">
        <v>46151</v>
      </c>
      <c r="C113" s="4" t="inlineStr">
        <is>
          <t>Sabado</t>
        </is>
      </c>
      <c r="D113" s="4" t="n">
        <v>0</v>
      </c>
      <c r="E113" s="4" t="n">
        <v>12</v>
      </c>
      <c r="F113" s="4" t="n">
        <v>0</v>
      </c>
      <c r="G113" s="4" t="n">
        <v>0</v>
      </c>
      <c r="H113" s="4" t="n">
        <v>12</v>
      </c>
      <c r="I113" s="4" t="n">
        <v>0</v>
      </c>
      <c r="J113" s="5" t="n">
        <v>191055.83</v>
      </c>
      <c r="K113" s="4" t="inlineStr"/>
    </row>
    <row r="114">
      <c r="A114" s="7" t="inlineStr">
        <is>
          <t>2026-05</t>
        </is>
      </c>
      <c r="B114" s="16" t="n">
        <v>46153</v>
      </c>
      <c r="C114" s="7" t="inlineStr">
        <is>
          <t>Lunes</t>
        </is>
      </c>
      <c r="D114" s="7" t="n">
        <v>1</v>
      </c>
      <c r="E114" s="7" t="n">
        <v>8</v>
      </c>
      <c r="F114" s="7" t="n">
        <v>0</v>
      </c>
      <c r="G114" s="7" t="n">
        <v>1</v>
      </c>
      <c r="H114" s="7" t="n">
        <v>10</v>
      </c>
      <c r="I114" s="7" t="n">
        <v>1</v>
      </c>
      <c r="J114" s="8" t="n">
        <v>106460.04</v>
      </c>
      <c r="K114" s="7" t="inlineStr"/>
    </row>
    <row r="115">
      <c r="A115" s="4" t="inlineStr">
        <is>
          <t>2026-05</t>
        </is>
      </c>
      <c r="B115" s="15" t="n">
        <v>46154</v>
      </c>
      <c r="C115" s="4" t="inlineStr">
        <is>
          <t>Martes</t>
        </is>
      </c>
      <c r="D115" s="4" t="n">
        <v>2</v>
      </c>
      <c r="E115" s="4" t="n">
        <v>8</v>
      </c>
      <c r="F115" s="4" t="n">
        <v>0</v>
      </c>
      <c r="G115" s="4" t="n">
        <v>0</v>
      </c>
      <c r="H115" s="4" t="n">
        <v>10</v>
      </c>
      <c r="I115" s="4" t="n">
        <v>2</v>
      </c>
      <c r="J115" s="5" t="n">
        <v>134038.1</v>
      </c>
      <c r="K115" s="4" t="inlineStr"/>
    </row>
    <row r="116">
      <c r="A116" s="7" t="inlineStr">
        <is>
          <t>2026-05</t>
        </is>
      </c>
      <c r="B116" s="16" t="n">
        <v>46155</v>
      </c>
      <c r="C116" s="7" t="inlineStr">
        <is>
          <t>Miercoles</t>
        </is>
      </c>
      <c r="D116" s="7" t="n">
        <v>2</v>
      </c>
      <c r="E116" s="7" t="n">
        <v>8</v>
      </c>
      <c r="F116" s="7" t="n">
        <v>0</v>
      </c>
      <c r="G116" s="7" t="n">
        <v>0</v>
      </c>
      <c r="H116" s="7" t="n">
        <v>10</v>
      </c>
      <c r="I116" s="7" t="n">
        <v>2</v>
      </c>
      <c r="J116" s="8" t="n">
        <v>116369.23</v>
      </c>
      <c r="K116" s="7" t="inlineStr"/>
    </row>
    <row r="117">
      <c r="A117" s="4" t="inlineStr">
        <is>
          <t>2026-05</t>
        </is>
      </c>
      <c r="B117" s="15" t="n">
        <v>46156</v>
      </c>
      <c r="C117" s="4" t="inlineStr">
        <is>
          <t>Jueves</t>
        </is>
      </c>
      <c r="D117" s="4" t="n">
        <v>1</v>
      </c>
      <c r="E117" s="4" t="n">
        <v>7</v>
      </c>
      <c r="F117" s="4" t="n">
        <v>0</v>
      </c>
      <c r="G117" s="4" t="n">
        <v>1</v>
      </c>
      <c r="H117" s="4" t="n">
        <v>9</v>
      </c>
      <c r="I117" s="4" t="n">
        <v>1</v>
      </c>
      <c r="J117" s="5" t="n">
        <v>120881.73</v>
      </c>
      <c r="K117" s="4" t="inlineStr"/>
    </row>
    <row r="118">
      <c r="A118" s="7" t="inlineStr">
        <is>
          <t>2026-05</t>
        </is>
      </c>
      <c r="B118" s="16" t="n">
        <v>46157</v>
      </c>
      <c r="C118" s="7" t="inlineStr">
        <is>
          <t>Viernes</t>
        </is>
      </c>
      <c r="D118" s="7" t="n">
        <v>1</v>
      </c>
      <c r="E118" s="7" t="n">
        <v>8</v>
      </c>
      <c r="F118" s="7" t="n">
        <v>0</v>
      </c>
      <c r="G118" s="7" t="n">
        <v>2</v>
      </c>
      <c r="H118" s="7" t="n">
        <v>11</v>
      </c>
      <c r="I118" s="7" t="n">
        <v>1</v>
      </c>
      <c r="J118" s="8" t="n">
        <v>132852.76</v>
      </c>
      <c r="K118" s="7" t="inlineStr"/>
    </row>
    <row r="119">
      <c r="A119" s="4" t="inlineStr">
        <is>
          <t>2026-05</t>
        </is>
      </c>
      <c r="B119" s="15" t="n">
        <v>46158</v>
      </c>
      <c r="C119" s="4" t="inlineStr">
        <is>
          <t>Sabado</t>
        </is>
      </c>
      <c r="D119" s="4" t="n">
        <v>3</v>
      </c>
      <c r="E119" s="4" t="n">
        <v>8</v>
      </c>
      <c r="F119" s="4" t="n">
        <v>0</v>
      </c>
      <c r="G119" s="4" t="n">
        <v>0</v>
      </c>
      <c r="H119" s="4" t="n">
        <v>11</v>
      </c>
      <c r="I119" s="4" t="n">
        <v>3</v>
      </c>
      <c r="J119" s="5" t="n">
        <v>104951.74</v>
      </c>
      <c r="K119" s="4" t="inlineStr"/>
    </row>
    <row r="120">
      <c r="A120" s="7" t="inlineStr">
        <is>
          <t>2026-05</t>
        </is>
      </c>
      <c r="B120" s="16" t="n">
        <v>46160</v>
      </c>
      <c r="C120" s="7" t="inlineStr">
        <is>
          <t>Lunes</t>
        </is>
      </c>
      <c r="D120" s="7" t="n">
        <v>0</v>
      </c>
      <c r="E120" s="7" t="n">
        <v>9</v>
      </c>
      <c r="F120" s="7" t="n">
        <v>0</v>
      </c>
      <c r="G120" s="7" t="n">
        <v>1</v>
      </c>
      <c r="H120" s="7" t="n">
        <v>10</v>
      </c>
      <c r="I120" s="7" t="n">
        <v>0</v>
      </c>
      <c r="J120" s="8" t="n">
        <v>120542.61</v>
      </c>
      <c r="K120" s="7" t="inlineStr"/>
    </row>
    <row r="121">
      <c r="A121" s="4" t="inlineStr">
        <is>
          <t>2026-05</t>
        </is>
      </c>
      <c r="B121" s="15" t="n">
        <v>46161</v>
      </c>
      <c r="C121" s="4" t="inlineStr">
        <is>
          <t>Martes</t>
        </is>
      </c>
      <c r="D121" s="4" t="n">
        <v>0</v>
      </c>
      <c r="E121" s="4" t="n">
        <v>2</v>
      </c>
      <c r="F121" s="4" t="n">
        <v>0</v>
      </c>
      <c r="G121" s="4" t="n">
        <v>1</v>
      </c>
      <c r="H121" s="4" t="n">
        <v>3</v>
      </c>
      <c r="I121" s="4" t="n">
        <v>0</v>
      </c>
      <c r="J121" s="5" t="n">
        <v>17827.82</v>
      </c>
      <c r="K121" s="4" t="inlineStr"/>
    </row>
    <row r="122">
      <c r="A122" s="7" t="inlineStr">
        <is>
          <t>2026-05</t>
        </is>
      </c>
      <c r="B122" s="16" t="n">
        <v>46162</v>
      </c>
      <c r="C122" s="7" t="inlineStr">
        <is>
          <t>Miercoles</t>
        </is>
      </c>
      <c r="D122" s="7" t="n">
        <v>1</v>
      </c>
      <c r="E122" s="7" t="n">
        <v>11</v>
      </c>
      <c r="F122" s="7" t="n">
        <v>0</v>
      </c>
      <c r="G122" s="7" t="n">
        <v>1</v>
      </c>
      <c r="H122" s="7" t="n">
        <v>13</v>
      </c>
      <c r="I122" s="7" t="n">
        <v>1</v>
      </c>
      <c r="J122" s="8" t="n">
        <v>163868.03</v>
      </c>
      <c r="K122" s="7" t="inlineStr"/>
    </row>
    <row r="123">
      <c r="A123" s="4" t="inlineStr">
        <is>
          <t>2026-05</t>
        </is>
      </c>
      <c r="B123" s="15" t="n">
        <v>46163</v>
      </c>
      <c r="C123" s="4" t="inlineStr">
        <is>
          <t>Jueves</t>
        </is>
      </c>
      <c r="D123" s="4" t="n">
        <v>2</v>
      </c>
      <c r="E123" s="4" t="n">
        <v>7</v>
      </c>
      <c r="F123" s="4" t="n">
        <v>0</v>
      </c>
      <c r="G123" s="4" t="n">
        <v>0</v>
      </c>
      <c r="H123" s="4" t="n">
        <v>9</v>
      </c>
      <c r="I123" s="4" t="n">
        <v>2</v>
      </c>
      <c r="J123" s="5" t="n">
        <v>88177.41</v>
      </c>
      <c r="K123" s="4" t="inlineStr"/>
    </row>
    <row r="124">
      <c r="A124" s="7" t="inlineStr">
        <is>
          <t>2026-05</t>
        </is>
      </c>
      <c r="B124" s="16" t="n">
        <v>46164</v>
      </c>
      <c r="C124" s="7" t="inlineStr">
        <is>
          <t>Viernes</t>
        </is>
      </c>
      <c r="D124" s="7" t="n">
        <v>0</v>
      </c>
      <c r="E124" s="7" t="n">
        <v>7</v>
      </c>
      <c r="F124" s="7" t="n">
        <v>0</v>
      </c>
      <c r="G124" s="7" t="n">
        <v>0</v>
      </c>
      <c r="H124" s="7" t="n">
        <v>7</v>
      </c>
      <c r="I124" s="7" t="n">
        <v>0</v>
      </c>
      <c r="J124" s="8" t="n">
        <v>109505.85</v>
      </c>
      <c r="K124" s="7" t="inlineStr"/>
    </row>
    <row r="125">
      <c r="A125" s="4" t="inlineStr">
        <is>
          <t>2026-05</t>
        </is>
      </c>
      <c r="B125" s="15" t="n">
        <v>46167</v>
      </c>
      <c r="C125" s="4" t="inlineStr">
        <is>
          <t>Lunes</t>
        </is>
      </c>
      <c r="D125" s="4" t="n">
        <v>2</v>
      </c>
      <c r="E125" s="4" t="n">
        <v>8</v>
      </c>
      <c r="F125" s="4" t="n">
        <v>0</v>
      </c>
      <c r="G125" s="4" t="n">
        <v>0</v>
      </c>
      <c r="H125" s="4" t="n">
        <v>10</v>
      </c>
      <c r="I125" s="4" t="n">
        <v>2</v>
      </c>
      <c r="J125" s="5" t="n">
        <v>168696.31</v>
      </c>
      <c r="K125" s="4" t="inlineStr"/>
    </row>
    <row r="126">
      <c r="A126" s="7" t="inlineStr">
        <is>
          <t>2026-05</t>
        </is>
      </c>
      <c r="B126" s="16" t="n">
        <v>46168</v>
      </c>
      <c r="C126" s="7" t="inlineStr">
        <is>
          <t>Martes</t>
        </is>
      </c>
      <c r="D126" s="7" t="n">
        <v>2</v>
      </c>
      <c r="E126" s="7" t="n">
        <v>17</v>
      </c>
      <c r="F126" s="7" t="n">
        <v>0</v>
      </c>
      <c r="G126" s="7" t="n">
        <v>0</v>
      </c>
      <c r="H126" s="7" t="n">
        <v>19</v>
      </c>
      <c r="I126" s="7" t="n">
        <v>2</v>
      </c>
      <c r="J126" s="8" t="n">
        <v>237705.48</v>
      </c>
      <c r="K126" s="7" t="inlineStr">
        <is>
          <t>SI</t>
        </is>
      </c>
    </row>
    <row r="127">
      <c r="A127" s="4" t="inlineStr">
        <is>
          <t>2026-05</t>
        </is>
      </c>
      <c r="B127" s="15" t="n">
        <v>46169</v>
      </c>
      <c r="C127" s="4" t="inlineStr">
        <is>
          <t>Miercoles</t>
        </is>
      </c>
      <c r="D127" s="4" t="n">
        <v>1</v>
      </c>
      <c r="E127" s="4" t="n">
        <v>12</v>
      </c>
      <c r="F127" s="4" t="n">
        <v>0</v>
      </c>
      <c r="G127" s="4" t="n">
        <v>0</v>
      </c>
      <c r="H127" s="4" t="n">
        <v>13</v>
      </c>
      <c r="I127" s="4" t="n">
        <v>1</v>
      </c>
      <c r="J127" s="5" t="n">
        <v>166405.86</v>
      </c>
      <c r="K127" s="4" t="inlineStr"/>
    </row>
    <row r="128">
      <c r="A128" s="7" t="inlineStr">
        <is>
          <t>2026-05</t>
        </is>
      </c>
      <c r="B128" s="16" t="n">
        <v>46170</v>
      </c>
      <c r="C128" s="7" t="inlineStr">
        <is>
          <t>Jueves</t>
        </is>
      </c>
      <c r="D128" s="7" t="n">
        <v>0</v>
      </c>
      <c r="E128" s="7" t="n">
        <v>8</v>
      </c>
      <c r="F128" s="7" t="n">
        <v>0</v>
      </c>
      <c r="G128" s="7" t="n">
        <v>0</v>
      </c>
      <c r="H128" s="7" t="n">
        <v>8</v>
      </c>
      <c r="I128" s="7" t="n">
        <v>0</v>
      </c>
      <c r="J128" s="8" t="n">
        <v>88542.96000000001</v>
      </c>
      <c r="K128" s="7" t="inlineStr"/>
    </row>
    <row r="129">
      <c r="A129" s="4" t="inlineStr">
        <is>
          <t>2026-05</t>
        </is>
      </c>
      <c r="B129" s="15" t="n">
        <v>46171</v>
      </c>
      <c r="C129" s="4" t="inlineStr">
        <is>
          <t>Viernes</t>
        </is>
      </c>
      <c r="D129" s="4" t="n">
        <v>1</v>
      </c>
      <c r="E129" s="4" t="n">
        <v>12</v>
      </c>
      <c r="F129" s="4" t="n">
        <v>0</v>
      </c>
      <c r="G129" s="4" t="n">
        <v>0</v>
      </c>
      <c r="H129" s="4" t="n">
        <v>13</v>
      </c>
      <c r="I129" s="4" t="n">
        <v>1</v>
      </c>
      <c r="J129" s="5" t="n">
        <v>190660.9</v>
      </c>
      <c r="K129" s="4" t="inlineStr"/>
    </row>
    <row r="130">
      <c r="A130" s="7" t="inlineStr">
        <is>
          <t>2026-06</t>
        </is>
      </c>
      <c r="B130" s="16" t="n">
        <v>46174</v>
      </c>
      <c r="C130" s="7" t="inlineStr">
        <is>
          <t>Lunes</t>
        </is>
      </c>
      <c r="D130" s="7" t="n">
        <v>3</v>
      </c>
      <c r="E130" s="7" t="n">
        <v>0</v>
      </c>
      <c r="F130" s="7" t="n">
        <v>0</v>
      </c>
      <c r="G130" s="7" t="n">
        <v>0</v>
      </c>
      <c r="H130" s="7" t="n">
        <v>3</v>
      </c>
      <c r="I130" s="7" t="n">
        <v>3</v>
      </c>
      <c r="J130" s="8" t="n">
        <v>14633.47</v>
      </c>
      <c r="K130" s="7" t="inlineStr"/>
    </row>
    <row r="131">
      <c r="A131" s="4" t="inlineStr">
        <is>
          <t>2026-06</t>
        </is>
      </c>
      <c r="B131" s="15" t="n">
        <v>46175</v>
      </c>
      <c r="C131" s="4" t="inlineStr">
        <is>
          <t>Martes</t>
        </is>
      </c>
      <c r="D131" s="4" t="n">
        <v>3</v>
      </c>
      <c r="E131" s="4" t="n">
        <v>4</v>
      </c>
      <c r="F131" s="4" t="n">
        <v>0</v>
      </c>
      <c r="G131" s="4" t="n">
        <v>2</v>
      </c>
      <c r="H131" s="4" t="n">
        <v>9</v>
      </c>
      <c r="I131" s="4" t="n">
        <v>3</v>
      </c>
      <c r="J131" s="5" t="n">
        <v>77373.53999999999</v>
      </c>
      <c r="K131" s="4" t="inlineStr">
        <is>
          <t>SI</t>
        </is>
      </c>
    </row>
    <row r="132">
      <c r="A132" s="7" t="inlineStr">
        <is>
          <t>2026-06</t>
        </is>
      </c>
      <c r="B132" s="16" t="n">
        <v>46176</v>
      </c>
      <c r="C132" s="7" t="inlineStr">
        <is>
          <t>Miercoles</t>
        </is>
      </c>
      <c r="D132" s="7" t="n">
        <v>1</v>
      </c>
      <c r="E132" s="7" t="n">
        <v>3</v>
      </c>
      <c r="F132" s="7" t="n">
        <v>0</v>
      </c>
      <c r="G132" s="7" t="n">
        <v>2</v>
      </c>
      <c r="H132" s="7" t="n">
        <v>6</v>
      </c>
      <c r="I132" s="7" t="n">
        <v>1</v>
      </c>
      <c r="J132" s="8" t="n">
        <v>36737.97</v>
      </c>
      <c r="K132" s="7" t="inlineStr"/>
    </row>
    <row r="133">
      <c r="A133" s="4" t="inlineStr">
        <is>
          <t>2026-06</t>
        </is>
      </c>
      <c r="B133" s="15" t="n">
        <v>46177</v>
      </c>
      <c r="C133" s="4" t="inlineStr">
        <is>
          <t>Jueves</t>
        </is>
      </c>
      <c r="D133" s="4" t="n">
        <v>2</v>
      </c>
      <c r="E133" s="4" t="n">
        <v>4</v>
      </c>
      <c r="F133" s="4" t="n">
        <v>0</v>
      </c>
      <c r="G133" s="4" t="n">
        <v>0</v>
      </c>
      <c r="H133" s="4" t="n">
        <v>6</v>
      </c>
      <c r="I133" s="4" t="n">
        <v>2</v>
      </c>
      <c r="J133" s="5" t="n">
        <v>57382.08</v>
      </c>
      <c r="K133" s="4" t="inlineStr"/>
    </row>
    <row r="134">
      <c r="A134" s="7" t="inlineStr">
        <is>
          <t>2026-06</t>
        </is>
      </c>
      <c r="B134" s="16" t="n">
        <v>46178</v>
      </c>
      <c r="C134" s="7" t="inlineStr">
        <is>
          <t>Viernes</t>
        </is>
      </c>
      <c r="D134" s="7" t="n">
        <v>0</v>
      </c>
      <c r="E134" s="7" t="n">
        <v>2</v>
      </c>
      <c r="F134" s="7" t="n">
        <v>0</v>
      </c>
      <c r="G134" s="7" t="n">
        <v>1</v>
      </c>
      <c r="H134" s="7" t="n">
        <v>3</v>
      </c>
      <c r="I134" s="7" t="n">
        <v>0</v>
      </c>
      <c r="J134" s="8" t="n">
        <v>33650.46</v>
      </c>
      <c r="K134" s="7" t="inlineStr"/>
    </row>
    <row r="135">
      <c r="A135" s="4" t="inlineStr">
        <is>
          <t>2026-06</t>
        </is>
      </c>
      <c r="B135" s="15" t="n">
        <v>46181</v>
      </c>
      <c r="C135" s="4" t="inlineStr">
        <is>
          <t>Lunes</t>
        </is>
      </c>
      <c r="D135" s="4" t="n">
        <v>4</v>
      </c>
      <c r="E135" s="4" t="n">
        <v>5</v>
      </c>
      <c r="F135" s="4" t="n">
        <v>0</v>
      </c>
      <c r="G135" s="4" t="n">
        <v>0</v>
      </c>
      <c r="H135" s="4" t="n">
        <v>9</v>
      </c>
      <c r="I135" s="4" t="n">
        <v>4</v>
      </c>
      <c r="J135" s="5" t="n">
        <v>121135.69</v>
      </c>
      <c r="K135" s="4" t="inlineStr">
        <is>
          <t>SI</t>
        </is>
      </c>
    </row>
    <row r="136">
      <c r="A136" s="7" t="inlineStr">
        <is>
          <t>2026-06</t>
        </is>
      </c>
      <c r="B136" s="16" t="n">
        <v>46182</v>
      </c>
      <c r="C136" s="7" t="inlineStr">
        <is>
          <t>Martes</t>
        </is>
      </c>
      <c r="D136" s="7" t="n">
        <v>4</v>
      </c>
      <c r="E136" s="7" t="n">
        <v>3</v>
      </c>
      <c r="F136" s="7" t="n">
        <v>0</v>
      </c>
      <c r="G136" s="7" t="n">
        <v>2</v>
      </c>
      <c r="H136" s="7" t="n">
        <v>9</v>
      </c>
      <c r="I136" s="7" t="n">
        <v>4</v>
      </c>
      <c r="J136" s="8" t="n">
        <v>80767.19</v>
      </c>
      <c r="K136" s="7" t="inlineStr">
        <is>
          <t>SI</t>
        </is>
      </c>
    </row>
    <row r="137">
      <c r="A137" s="4" t="inlineStr">
        <is>
          <t>2026-06</t>
        </is>
      </c>
      <c r="B137" s="15" t="n">
        <v>46183</v>
      </c>
      <c r="C137" s="4" t="inlineStr">
        <is>
          <t>Miercoles</t>
        </is>
      </c>
      <c r="D137" s="4" t="n">
        <v>3</v>
      </c>
      <c r="E137" s="4" t="n">
        <v>3</v>
      </c>
      <c r="F137" s="4" t="n">
        <v>0</v>
      </c>
      <c r="G137" s="4" t="n">
        <v>2</v>
      </c>
      <c r="H137" s="4" t="n">
        <v>8</v>
      </c>
      <c r="I137" s="4" t="n">
        <v>3</v>
      </c>
      <c r="J137" s="5" t="n">
        <v>45797.59</v>
      </c>
      <c r="K137" s="4" t="inlineStr"/>
    </row>
    <row r="138">
      <c r="A138" s="7" t="inlineStr">
        <is>
          <t>2026-06</t>
        </is>
      </c>
      <c r="B138" s="16" t="n">
        <v>46184</v>
      </c>
      <c r="C138" s="7" t="inlineStr">
        <is>
          <t>Jueves</t>
        </is>
      </c>
      <c r="D138" s="7" t="n">
        <v>1</v>
      </c>
      <c r="E138" s="7" t="n">
        <v>5</v>
      </c>
      <c r="F138" s="7" t="n">
        <v>0</v>
      </c>
      <c r="G138" s="7" t="n">
        <v>0</v>
      </c>
      <c r="H138" s="7" t="n">
        <v>6</v>
      </c>
      <c r="I138" s="7" t="n">
        <v>1</v>
      </c>
      <c r="J138" s="8" t="n">
        <v>70937.74000000001</v>
      </c>
      <c r="K138" s="7" t="inlineStr"/>
    </row>
    <row r="139">
      <c r="A139" s="4" t="inlineStr">
        <is>
          <t>2026-06</t>
        </is>
      </c>
      <c r="B139" s="15" t="n">
        <v>46185</v>
      </c>
      <c r="C139" s="4" t="inlineStr">
        <is>
          <t>Viernes</t>
        </is>
      </c>
      <c r="D139" s="4" t="n">
        <v>4</v>
      </c>
      <c r="E139" s="4" t="n">
        <v>1</v>
      </c>
      <c r="F139" s="4" t="n">
        <v>0</v>
      </c>
      <c r="G139" s="4" t="n">
        <v>2</v>
      </c>
      <c r="H139" s="4" t="n">
        <v>7</v>
      </c>
      <c r="I139" s="4" t="n">
        <v>4</v>
      </c>
      <c r="J139" s="5" t="n">
        <v>54176.35</v>
      </c>
      <c r="K139" s="4" t="inlineStr"/>
    </row>
    <row r="140">
      <c r="A140" s="7" t="inlineStr">
        <is>
          <t>2026-06</t>
        </is>
      </c>
      <c r="B140" s="16" t="n">
        <v>46188</v>
      </c>
      <c r="C140" s="7" t="inlineStr">
        <is>
          <t>Lunes</t>
        </is>
      </c>
      <c r="D140" s="7" t="n">
        <v>2</v>
      </c>
      <c r="E140" s="7" t="n">
        <v>3</v>
      </c>
      <c r="F140" s="7" t="n">
        <v>0</v>
      </c>
      <c r="G140" s="7" t="n">
        <v>0</v>
      </c>
      <c r="H140" s="7" t="n">
        <v>5</v>
      </c>
      <c r="I140" s="7" t="n">
        <v>2</v>
      </c>
      <c r="J140" s="8" t="n">
        <v>56453.98</v>
      </c>
      <c r="K140" s="7" t="inlineStr"/>
    </row>
    <row r="141">
      <c r="A141" s="4" t="inlineStr">
        <is>
          <t>2026-06</t>
        </is>
      </c>
      <c r="B141" s="15" t="n">
        <v>46189</v>
      </c>
      <c r="C141" s="4" t="inlineStr">
        <is>
          <t>Martes</t>
        </is>
      </c>
      <c r="D141" s="4" t="n">
        <v>0</v>
      </c>
      <c r="E141" s="4" t="n">
        <v>2</v>
      </c>
      <c r="F141" s="4" t="n">
        <v>0</v>
      </c>
      <c r="G141" s="4" t="n">
        <v>2</v>
      </c>
      <c r="H141" s="4" t="n">
        <v>4</v>
      </c>
      <c r="I141" s="4" t="n">
        <v>0</v>
      </c>
      <c r="J141" s="5" t="n">
        <v>33466.72</v>
      </c>
      <c r="K141" s="4" t="inlineStr"/>
    </row>
    <row r="142">
      <c r="A142" s="7" t="inlineStr">
        <is>
          <t>2026-06</t>
        </is>
      </c>
      <c r="B142" s="16" t="n">
        <v>46190</v>
      </c>
      <c r="C142" s="7" t="inlineStr">
        <is>
          <t>Miercoles</t>
        </is>
      </c>
      <c r="D142" s="7" t="n">
        <v>0</v>
      </c>
      <c r="E142" s="7" t="n">
        <v>6</v>
      </c>
      <c r="F142" s="7" t="n">
        <v>0</v>
      </c>
      <c r="G142" s="7" t="n">
        <v>1</v>
      </c>
      <c r="H142" s="7" t="n">
        <v>7</v>
      </c>
      <c r="I142" s="7" t="n">
        <v>0</v>
      </c>
      <c r="J142" s="8" t="n">
        <v>113426.03</v>
      </c>
      <c r="K142" s="7" t="inlineStr"/>
    </row>
    <row r="143">
      <c r="A143" s="4" t="inlineStr">
        <is>
          <t>2026-06</t>
        </is>
      </c>
      <c r="B143" s="15" t="n">
        <v>46191</v>
      </c>
      <c r="C143" s="4" t="inlineStr">
        <is>
          <t>Jueves</t>
        </is>
      </c>
      <c r="D143" s="4" t="n">
        <v>3</v>
      </c>
      <c r="E143" s="4" t="n">
        <v>1</v>
      </c>
      <c r="F143" s="4" t="n">
        <v>0</v>
      </c>
      <c r="G143" s="4" t="n">
        <v>1</v>
      </c>
      <c r="H143" s="4" t="n">
        <v>5</v>
      </c>
      <c r="I143" s="4" t="n">
        <v>3</v>
      </c>
      <c r="J143" s="5" t="n">
        <v>42273.94</v>
      </c>
      <c r="K143" s="4" t="inlineStr"/>
    </row>
    <row r="144">
      <c r="A144" s="7" t="inlineStr">
        <is>
          <t>2026-06</t>
        </is>
      </c>
      <c r="B144" s="16" t="n">
        <v>46192</v>
      </c>
      <c r="C144" s="7" t="inlineStr">
        <is>
          <t>Viernes</t>
        </is>
      </c>
      <c r="D144" s="7" t="n">
        <v>1</v>
      </c>
      <c r="E144" s="7" t="n">
        <v>2</v>
      </c>
      <c r="F144" s="7" t="n">
        <v>0</v>
      </c>
      <c r="G144" s="7" t="n">
        <v>1</v>
      </c>
      <c r="H144" s="7" t="n">
        <v>4</v>
      </c>
      <c r="I144" s="7" t="n">
        <v>1</v>
      </c>
      <c r="J144" s="8" t="n">
        <v>48425.7</v>
      </c>
      <c r="K144" s="7" t="inlineStr"/>
    </row>
    <row r="145">
      <c r="A145" s="4" t="inlineStr">
        <is>
          <t>2026-06</t>
        </is>
      </c>
      <c r="B145" s="15" t="n">
        <v>46195</v>
      </c>
      <c r="C145" s="4" t="inlineStr">
        <is>
          <t>Lunes</t>
        </is>
      </c>
      <c r="D145" s="4" t="n">
        <v>5</v>
      </c>
      <c r="E145" s="4" t="n">
        <v>2</v>
      </c>
      <c r="F145" s="4" t="n">
        <v>0</v>
      </c>
      <c r="G145" s="4" t="n">
        <v>0</v>
      </c>
      <c r="H145" s="4" t="n">
        <v>7</v>
      </c>
      <c r="I145" s="4" t="n">
        <v>5</v>
      </c>
      <c r="J145" s="5" t="n">
        <v>86474.92999999999</v>
      </c>
      <c r="K145" s="4" t="inlineStr"/>
    </row>
    <row r="146">
      <c r="A146" s="7" t="inlineStr">
        <is>
          <t>2026-06</t>
        </is>
      </c>
      <c r="B146" s="16" t="n">
        <v>46196</v>
      </c>
      <c r="C146" s="7" t="inlineStr">
        <is>
          <t>Martes</t>
        </is>
      </c>
      <c r="D146" s="7" t="n">
        <v>2</v>
      </c>
      <c r="E146" s="7" t="n">
        <v>3</v>
      </c>
      <c r="F146" s="7" t="n">
        <v>0</v>
      </c>
      <c r="G146" s="7" t="n">
        <v>0</v>
      </c>
      <c r="H146" s="7" t="n">
        <v>5</v>
      </c>
      <c r="I146" s="7" t="n">
        <v>2</v>
      </c>
      <c r="J146" s="8" t="n">
        <v>66193.11</v>
      </c>
      <c r="K146" s="7" t="inlineStr"/>
    </row>
    <row r="147">
      <c r="A147" s="4" t="inlineStr">
        <is>
          <t>2026-06</t>
        </is>
      </c>
      <c r="B147" s="15" t="n">
        <v>46197</v>
      </c>
      <c r="C147" s="4" t="inlineStr">
        <is>
          <t>Miercoles</t>
        </is>
      </c>
      <c r="D147" s="4" t="n">
        <v>3</v>
      </c>
      <c r="E147" s="4" t="n">
        <v>4</v>
      </c>
      <c r="F147" s="4" t="n">
        <v>0</v>
      </c>
      <c r="G147" s="4" t="n">
        <v>0</v>
      </c>
      <c r="H147" s="4" t="n">
        <v>7</v>
      </c>
      <c r="I147" s="4" t="n">
        <v>3</v>
      </c>
      <c r="J147" s="5" t="n">
        <v>85307.13</v>
      </c>
      <c r="K147" s="4" t="inlineStr"/>
    </row>
    <row r="148">
      <c r="A148" s="7" t="inlineStr">
        <is>
          <t>2026-06</t>
        </is>
      </c>
      <c r="B148" s="16" t="n">
        <v>46198</v>
      </c>
      <c r="C148" s="7" t="inlineStr">
        <is>
          <t>Jueves</t>
        </is>
      </c>
      <c r="D148" s="7" t="n">
        <v>5</v>
      </c>
      <c r="E148" s="7" t="n">
        <v>3</v>
      </c>
      <c r="F148" s="7" t="n">
        <v>0</v>
      </c>
      <c r="G148" s="7" t="n">
        <v>1</v>
      </c>
      <c r="H148" s="7" t="n">
        <v>9</v>
      </c>
      <c r="I148" s="7" t="n">
        <v>5</v>
      </c>
      <c r="J148" s="8" t="n">
        <v>51510.3</v>
      </c>
      <c r="K148" s="7" t="inlineStr">
        <is>
          <t>SI</t>
        </is>
      </c>
    </row>
    <row r="149">
      <c r="A149" s="4" t="inlineStr">
        <is>
          <t>2026-06</t>
        </is>
      </c>
      <c r="B149" s="15" t="n">
        <v>46199</v>
      </c>
      <c r="C149" s="4" t="inlineStr">
        <is>
          <t>Viernes</t>
        </is>
      </c>
      <c r="D149" s="4" t="n">
        <v>4</v>
      </c>
      <c r="E149" s="4" t="n">
        <v>6</v>
      </c>
      <c r="F149" s="4" t="n">
        <v>0</v>
      </c>
      <c r="G149" s="4" t="n">
        <v>0</v>
      </c>
      <c r="H149" s="4" t="n">
        <v>10</v>
      </c>
      <c r="I149" s="4" t="n">
        <v>4</v>
      </c>
      <c r="J149" s="5" t="n">
        <v>118751.28</v>
      </c>
      <c r="K149" s="4" t="inlineStr">
        <is>
          <t>SI</t>
        </is>
      </c>
    </row>
    <row r="150">
      <c r="A150" s="7" t="inlineStr">
        <is>
          <t>2026-07</t>
        </is>
      </c>
      <c r="B150" s="16" t="n">
        <v>46204</v>
      </c>
      <c r="C150" s="7" t="inlineStr">
        <is>
          <t>Miercoles</t>
        </is>
      </c>
      <c r="D150" s="7" t="n">
        <v>5</v>
      </c>
      <c r="E150" s="7" t="n">
        <v>1</v>
      </c>
      <c r="F150" s="7" t="n">
        <v>0</v>
      </c>
      <c r="G150" s="7" t="n">
        <v>0</v>
      </c>
      <c r="H150" s="7" t="n">
        <v>6</v>
      </c>
      <c r="I150" s="7" t="n">
        <v>5</v>
      </c>
      <c r="J150" s="8" t="n">
        <v>40876.21</v>
      </c>
      <c r="K150" s="7" t="inlineStr"/>
    </row>
    <row r="151">
      <c r="A151" s="4" t="inlineStr">
        <is>
          <t>2026-07</t>
        </is>
      </c>
      <c r="B151" s="15" t="n">
        <v>46205</v>
      </c>
      <c r="C151" s="4" t="inlineStr">
        <is>
          <t>Jueves</t>
        </is>
      </c>
      <c r="D151" s="4" t="n">
        <v>7</v>
      </c>
      <c r="E151" s="4" t="n">
        <v>2</v>
      </c>
      <c r="F151" s="4" t="n">
        <v>0</v>
      </c>
      <c r="G151" s="4" t="n">
        <v>0</v>
      </c>
      <c r="H151" s="4" t="n">
        <v>9</v>
      </c>
      <c r="I151" s="4" t="n">
        <v>7</v>
      </c>
      <c r="J151" s="5" t="n">
        <v>61270.84</v>
      </c>
      <c r="K151" s="4" t="inlineStr"/>
    </row>
    <row r="152">
      <c r="A152" s="7" t="inlineStr">
        <is>
          <t>2026-07</t>
        </is>
      </c>
      <c r="B152" s="16" t="n">
        <v>46206</v>
      </c>
      <c r="C152" s="7" t="inlineStr">
        <is>
          <t>Viernes</t>
        </is>
      </c>
      <c r="D152" s="7" t="n">
        <v>5</v>
      </c>
      <c r="E152" s="7" t="n">
        <v>1</v>
      </c>
      <c r="F152" s="7" t="n">
        <v>0</v>
      </c>
      <c r="G152" s="7" t="n">
        <v>1</v>
      </c>
      <c r="H152" s="7" t="n">
        <v>7</v>
      </c>
      <c r="I152" s="7" t="n">
        <v>5</v>
      </c>
      <c r="J152" s="8" t="n">
        <v>56473.74</v>
      </c>
      <c r="K152" s="7" t="inlineStr"/>
    </row>
    <row r="153">
      <c r="A153" s="4" t="inlineStr">
        <is>
          <t>2026-07</t>
        </is>
      </c>
      <c r="B153" s="15" t="n">
        <v>46209</v>
      </c>
      <c r="C153" s="4" t="inlineStr">
        <is>
          <t>Lunes</t>
        </is>
      </c>
      <c r="D153" s="4" t="n">
        <v>6</v>
      </c>
      <c r="E153" s="4" t="n">
        <v>3</v>
      </c>
      <c r="F153" s="4" t="n">
        <v>0</v>
      </c>
      <c r="G153" s="4" t="n">
        <v>1</v>
      </c>
      <c r="H153" s="4" t="n">
        <v>10</v>
      </c>
      <c r="I153" s="4" t="n">
        <v>6</v>
      </c>
      <c r="J153" s="5" t="n">
        <v>66993.25</v>
      </c>
      <c r="K153" s="4" t="inlineStr"/>
    </row>
    <row r="154">
      <c r="A154" s="7" t="inlineStr">
        <is>
          <t>2026-07</t>
        </is>
      </c>
      <c r="B154" s="16" t="n">
        <v>46210</v>
      </c>
      <c r="C154" s="7" t="inlineStr">
        <is>
          <t>Martes</t>
        </is>
      </c>
      <c r="D154" s="7" t="n">
        <v>11</v>
      </c>
      <c r="E154" s="7" t="n">
        <v>4</v>
      </c>
      <c r="F154" s="7" t="n">
        <v>0</v>
      </c>
      <c r="G154" s="7" t="n">
        <v>1</v>
      </c>
      <c r="H154" s="7" t="n">
        <v>16</v>
      </c>
      <c r="I154" s="7" t="n">
        <v>11</v>
      </c>
      <c r="J154" s="8" t="n">
        <v>129127.26</v>
      </c>
      <c r="K154" s="7" t="inlineStr">
        <is>
          <t>SI</t>
        </is>
      </c>
    </row>
    <row r="155">
      <c r="A155" s="4" t="inlineStr">
        <is>
          <t>2026-07</t>
        </is>
      </c>
      <c r="B155" s="15" t="n">
        <v>46211</v>
      </c>
      <c r="C155" s="4" t="inlineStr">
        <is>
          <t>Miercoles</t>
        </is>
      </c>
      <c r="D155" s="4" t="n">
        <v>8</v>
      </c>
      <c r="E155" s="4" t="n">
        <v>1</v>
      </c>
      <c r="F155" s="4" t="n">
        <v>0</v>
      </c>
      <c r="G155" s="4" t="n">
        <v>1</v>
      </c>
      <c r="H155" s="4" t="n">
        <v>10</v>
      </c>
      <c r="I155" s="4" t="n">
        <v>8</v>
      </c>
      <c r="J155" s="5" t="n">
        <v>75267.74000000001</v>
      </c>
      <c r="K155" s="4" t="inlineStr"/>
    </row>
    <row r="156">
      <c r="A156" s="7" t="inlineStr">
        <is>
          <t>2026-07</t>
        </is>
      </c>
      <c r="B156" s="16" t="n">
        <v>46212</v>
      </c>
      <c r="C156" s="7" t="inlineStr">
        <is>
          <t>Jueves</t>
        </is>
      </c>
      <c r="D156" s="7" t="n">
        <v>9</v>
      </c>
      <c r="E156" s="7" t="n">
        <v>0</v>
      </c>
      <c r="F156" s="7" t="n">
        <v>0</v>
      </c>
      <c r="G156" s="7" t="n">
        <v>0</v>
      </c>
      <c r="H156" s="7" t="n">
        <v>9</v>
      </c>
      <c r="I156" s="7" t="n">
        <v>9</v>
      </c>
      <c r="J156" s="8" t="n">
        <v>81328.48</v>
      </c>
      <c r="K156" s="7" t="inlineStr"/>
    </row>
    <row r="157">
      <c r="A157" s="4" t="inlineStr">
        <is>
          <t>2026-07</t>
        </is>
      </c>
      <c r="B157" s="15" t="n">
        <v>46213</v>
      </c>
      <c r="C157" s="4" t="inlineStr">
        <is>
          <t>Viernes</t>
        </is>
      </c>
      <c r="D157" s="4" t="n">
        <v>9</v>
      </c>
      <c r="E157" s="4" t="n">
        <v>0</v>
      </c>
      <c r="F157" s="4" t="n">
        <v>0</v>
      </c>
      <c r="G157" s="4" t="n">
        <v>2</v>
      </c>
      <c r="H157" s="4" t="n">
        <v>11</v>
      </c>
      <c r="I157" s="4" t="n">
        <v>9</v>
      </c>
      <c r="J157" s="5" t="n">
        <v>64719.03</v>
      </c>
      <c r="K157" s="4" t="inlineStr"/>
    </row>
    <row r="158">
      <c r="A158" s="7" t="inlineStr">
        <is>
          <t>2026-07</t>
        </is>
      </c>
      <c r="B158" s="16" t="n">
        <v>46216</v>
      </c>
      <c r="C158" s="7" t="inlineStr">
        <is>
          <t>Lunes</t>
        </is>
      </c>
      <c r="D158" s="7" t="n">
        <v>10</v>
      </c>
      <c r="E158" s="7" t="n">
        <v>2</v>
      </c>
      <c r="F158" s="7" t="n">
        <v>0</v>
      </c>
      <c r="G158" s="7" t="n">
        <v>1</v>
      </c>
      <c r="H158" s="7" t="n">
        <v>13</v>
      </c>
      <c r="I158" s="7" t="n">
        <v>10</v>
      </c>
      <c r="J158" s="8" t="n">
        <v>80937.61</v>
      </c>
      <c r="K158" s="7" t="inlineStr"/>
    </row>
    <row r="159">
      <c r="A159" s="4" t="inlineStr">
        <is>
          <t>2026-07</t>
        </is>
      </c>
      <c r="B159" s="15" t="n">
        <v>46217</v>
      </c>
      <c r="C159" s="4" t="inlineStr">
        <is>
          <t>Martes</t>
        </is>
      </c>
      <c r="D159" s="4" t="n">
        <v>14</v>
      </c>
      <c r="E159" s="4" t="n">
        <v>2</v>
      </c>
      <c r="F159" s="4" t="n">
        <v>0</v>
      </c>
      <c r="G159" s="4" t="n">
        <v>2</v>
      </c>
      <c r="H159" s="4" t="n">
        <v>18</v>
      </c>
      <c r="I159" s="4" t="n">
        <v>14</v>
      </c>
      <c r="J159" s="5" t="n">
        <v>136055.66</v>
      </c>
      <c r="K159" s="4" t="inlineStr">
        <is>
          <t>SI</t>
        </is>
      </c>
    </row>
    <row r="160">
      <c r="A160" s="7" t="inlineStr">
        <is>
          <t>2026-07</t>
        </is>
      </c>
      <c r="B160" s="16" t="n">
        <v>46218</v>
      </c>
      <c r="C160" s="7" t="inlineStr">
        <is>
          <t>Miercoles</t>
        </is>
      </c>
      <c r="D160" s="7" t="n">
        <v>9</v>
      </c>
      <c r="E160" s="7" t="n">
        <v>0</v>
      </c>
      <c r="F160" s="7" t="n">
        <v>0</v>
      </c>
      <c r="G160" s="7" t="n">
        <v>0</v>
      </c>
      <c r="H160" s="7" t="n">
        <v>9</v>
      </c>
      <c r="I160" s="7" t="n">
        <v>9</v>
      </c>
      <c r="J160" s="8" t="n">
        <v>80150.73</v>
      </c>
      <c r="K160" s="7" t="inlineStr"/>
    </row>
    <row r="161">
      <c r="A161" s="4" t="inlineStr">
        <is>
          <t>2026-07</t>
        </is>
      </c>
      <c r="B161" s="15" t="n">
        <v>46219</v>
      </c>
      <c r="C161" s="4" t="inlineStr">
        <is>
          <t>Jueves</t>
        </is>
      </c>
      <c r="D161" s="4" t="n">
        <v>9</v>
      </c>
      <c r="E161" s="4" t="n">
        <v>1</v>
      </c>
      <c r="F161" s="4" t="n">
        <v>0</v>
      </c>
      <c r="G161" s="4" t="n">
        <v>3</v>
      </c>
      <c r="H161" s="4" t="n">
        <v>13</v>
      </c>
      <c r="I161" s="4" t="n">
        <v>9</v>
      </c>
      <c r="J161" s="5" t="n">
        <v>87443.52</v>
      </c>
      <c r="K161" s="4" t="inlineStr"/>
    </row>
    <row r="162">
      <c r="A162" s="7" t="inlineStr">
        <is>
          <t>2026-07</t>
        </is>
      </c>
      <c r="B162" s="16" t="n">
        <v>46220</v>
      </c>
      <c r="C162" s="7" t="inlineStr">
        <is>
          <t>Viernes</t>
        </is>
      </c>
      <c r="D162" s="7" t="n">
        <v>5</v>
      </c>
      <c r="E162" s="7" t="n">
        <v>0</v>
      </c>
      <c r="F162" s="7" t="n">
        <v>0</v>
      </c>
      <c r="G162" s="7" t="n">
        <v>0</v>
      </c>
      <c r="H162" s="7" t="n">
        <v>5</v>
      </c>
      <c r="I162" s="7" t="n">
        <v>5</v>
      </c>
      <c r="J162" s="8" t="n">
        <v>31453.42</v>
      </c>
      <c r="K162" s="7" t="inlineStr"/>
    </row>
    <row r="163">
      <c r="A163" s="4" t="inlineStr">
        <is>
          <t>2026-07</t>
        </is>
      </c>
      <c r="B163" s="15" t="n">
        <v>46223</v>
      </c>
      <c r="C163" s="4" t="inlineStr">
        <is>
          <t>Lunes</t>
        </is>
      </c>
      <c r="D163" s="4" t="n">
        <v>5</v>
      </c>
      <c r="E163" s="4" t="n">
        <v>0</v>
      </c>
      <c r="F163" s="4" t="n">
        <v>0</v>
      </c>
      <c r="G163" s="4" t="n">
        <v>0</v>
      </c>
      <c r="H163" s="4" t="n">
        <v>5</v>
      </c>
      <c r="I163" s="4" t="n">
        <v>5</v>
      </c>
      <c r="J163" s="5" t="n">
        <v>53597.57</v>
      </c>
      <c r="K163" s="4" t="inlineStr"/>
    </row>
    <row r="164">
      <c r="A164" s="7" t="inlineStr">
        <is>
          <t>2026-07</t>
        </is>
      </c>
      <c r="B164" s="16" t="n">
        <v>46224</v>
      </c>
      <c r="C164" s="7" t="inlineStr">
        <is>
          <t>Martes</t>
        </is>
      </c>
      <c r="D164" s="7" t="n">
        <v>8</v>
      </c>
      <c r="E164" s="7" t="n">
        <v>3</v>
      </c>
      <c r="F164" s="7" t="n">
        <v>0</v>
      </c>
      <c r="G164" s="7" t="n">
        <v>0</v>
      </c>
      <c r="H164" s="7" t="n">
        <v>11</v>
      </c>
      <c r="I164" s="7" t="n">
        <v>8</v>
      </c>
      <c r="J164" s="8" t="n">
        <v>100836.38</v>
      </c>
      <c r="K164" s="7" t="inlineStr"/>
    </row>
    <row r="165">
      <c r="A165" s="4" t="inlineStr">
        <is>
          <t>2026-07</t>
        </is>
      </c>
      <c r="B165" s="15" t="n">
        <v>46225</v>
      </c>
      <c r="C165" s="4" t="inlineStr">
        <is>
          <t>Miercoles</t>
        </is>
      </c>
      <c r="D165" s="4" t="n">
        <v>10</v>
      </c>
      <c r="E165" s="4" t="n">
        <v>2</v>
      </c>
      <c r="F165" s="4" t="n">
        <v>0</v>
      </c>
      <c r="G165" s="4" t="n">
        <v>0</v>
      </c>
      <c r="H165" s="4" t="n">
        <v>12</v>
      </c>
      <c r="I165" s="4" t="n">
        <v>10</v>
      </c>
      <c r="J165" s="5" t="n">
        <v>110914.37</v>
      </c>
      <c r="K165" s="4" t="inlineStr"/>
    </row>
    <row r="166">
      <c r="A166" s="7" t="inlineStr">
        <is>
          <t>2026-07</t>
        </is>
      </c>
      <c r="B166" s="16" t="n">
        <v>46226</v>
      </c>
      <c r="C166" s="7" t="inlineStr">
        <is>
          <t>Jueves</t>
        </is>
      </c>
      <c r="D166" s="7" t="n">
        <v>6</v>
      </c>
      <c r="E166" s="7" t="n">
        <v>1</v>
      </c>
      <c r="F166" s="7" t="n">
        <v>0</v>
      </c>
      <c r="G166" s="7" t="n">
        <v>0</v>
      </c>
      <c r="H166" s="7" t="n">
        <v>7</v>
      </c>
      <c r="I166" s="7" t="n">
        <v>6</v>
      </c>
      <c r="J166" s="8" t="n">
        <v>39855.36</v>
      </c>
      <c r="K166" s="7" t="inlineStr"/>
    </row>
    <row r="167">
      <c r="A167" s="4" t="inlineStr">
        <is>
          <t>2026-07</t>
        </is>
      </c>
      <c r="B167" s="15" t="n">
        <v>46227</v>
      </c>
      <c r="C167" s="4" t="inlineStr">
        <is>
          <t>Viernes</t>
        </is>
      </c>
      <c r="D167" s="4" t="n">
        <v>8</v>
      </c>
      <c r="E167" s="4" t="n">
        <v>3</v>
      </c>
      <c r="F167" s="4" t="n">
        <v>0</v>
      </c>
      <c r="G167" s="4" t="n">
        <v>2</v>
      </c>
      <c r="H167" s="4" t="n">
        <v>13</v>
      </c>
      <c r="I167" s="4" t="n">
        <v>8</v>
      </c>
      <c r="J167" s="5" t="n">
        <v>107678.29</v>
      </c>
      <c r="K167" s="4" t="inlineStr"/>
    </row>
    <row r="168">
      <c r="A168" s="7" t="inlineStr">
        <is>
          <t>2026-07</t>
        </is>
      </c>
      <c r="B168" s="16" t="n">
        <v>46230</v>
      </c>
      <c r="C168" s="7" t="inlineStr">
        <is>
          <t>Lunes</t>
        </is>
      </c>
      <c r="D168" s="7" t="n">
        <v>10</v>
      </c>
      <c r="E168" s="7" t="n">
        <v>0</v>
      </c>
      <c r="F168" s="7" t="n">
        <v>0</v>
      </c>
      <c r="G168" s="7" t="n">
        <v>2</v>
      </c>
      <c r="H168" s="7" t="n">
        <v>12</v>
      </c>
      <c r="I168" s="7" t="n">
        <v>10</v>
      </c>
      <c r="J168" s="8" t="n">
        <v>99151.57000000001</v>
      </c>
      <c r="K168" s="7" t="inlineStr"/>
    </row>
    <row r="169">
      <c r="A169" s="4" t="inlineStr">
        <is>
          <t>2026-07</t>
        </is>
      </c>
      <c r="B169" s="15" t="n">
        <v>46231</v>
      </c>
      <c r="C169" s="4" t="inlineStr">
        <is>
          <t>Martes</t>
        </is>
      </c>
      <c r="D169" s="4" t="n">
        <v>13</v>
      </c>
      <c r="E169" s="4" t="n">
        <v>0</v>
      </c>
      <c r="F169" s="4" t="n">
        <v>0</v>
      </c>
      <c r="G169" s="4" t="n">
        <v>0</v>
      </c>
      <c r="H169" s="4" t="n">
        <v>13</v>
      </c>
      <c r="I169" s="4" t="n">
        <v>13</v>
      </c>
      <c r="J169" s="5" t="n">
        <v>80811.87</v>
      </c>
      <c r="K169" s="4" t="inlineStr"/>
    </row>
    <row r="170">
      <c r="A170" s="7" t="inlineStr">
        <is>
          <t>2026-07</t>
        </is>
      </c>
      <c r="B170" s="16" t="n">
        <v>46232</v>
      </c>
      <c r="C170" s="7" t="inlineStr">
        <is>
          <t>Miercoles</t>
        </is>
      </c>
      <c r="D170" s="7" t="n">
        <v>8</v>
      </c>
      <c r="E170" s="7" t="n">
        <v>3</v>
      </c>
      <c r="F170" s="7" t="n">
        <v>0</v>
      </c>
      <c r="G170" s="7" t="n">
        <v>2</v>
      </c>
      <c r="H170" s="7" t="n">
        <v>13</v>
      </c>
      <c r="I170" s="7" t="n">
        <v>8</v>
      </c>
      <c r="J170" s="8" t="n">
        <v>118449.38</v>
      </c>
      <c r="K170" s="7" t="inlineStr"/>
    </row>
    <row r="171">
      <c r="A171" s="4" t="inlineStr">
        <is>
          <t>2026-08</t>
        </is>
      </c>
      <c r="B171" s="15" t="n">
        <v>46237</v>
      </c>
      <c r="C171" s="4" t="inlineStr">
        <is>
          <t>Lunes</t>
        </is>
      </c>
      <c r="D171" s="4" t="n">
        <v>5</v>
      </c>
      <c r="E171" s="4" t="n">
        <v>1</v>
      </c>
      <c r="F171" s="4" t="n">
        <v>1</v>
      </c>
      <c r="G171" s="4" t="n">
        <v>1</v>
      </c>
      <c r="H171" s="4" t="n">
        <v>8</v>
      </c>
      <c r="I171" s="4" t="n">
        <v>5</v>
      </c>
      <c r="J171" s="5" t="n">
        <v>52722.51</v>
      </c>
      <c r="K171" s="4" t="inlineStr"/>
    </row>
    <row r="172">
      <c r="A172" s="7" t="inlineStr">
        <is>
          <t>2026-08</t>
        </is>
      </c>
      <c r="B172" s="16" t="n">
        <v>46238</v>
      </c>
      <c r="C172" s="7" t="inlineStr">
        <is>
          <t>Martes</t>
        </is>
      </c>
      <c r="D172" s="7" t="n">
        <v>7</v>
      </c>
      <c r="E172" s="7" t="n">
        <v>1</v>
      </c>
      <c r="F172" s="7" t="n">
        <v>5</v>
      </c>
      <c r="G172" s="7" t="n">
        <v>1</v>
      </c>
      <c r="H172" s="7" t="n">
        <v>14</v>
      </c>
      <c r="I172" s="7" t="n">
        <v>7</v>
      </c>
      <c r="J172" s="8" t="n">
        <v>65364.52</v>
      </c>
      <c r="K172" s="7" t="inlineStr"/>
    </row>
    <row r="173">
      <c r="A173" s="4" t="inlineStr">
        <is>
          <t>2026-08</t>
        </is>
      </c>
      <c r="B173" s="15" t="n">
        <v>46239</v>
      </c>
      <c r="C173" s="4" t="inlineStr">
        <is>
          <t>Miercoles</t>
        </is>
      </c>
      <c r="D173" s="4" t="n">
        <v>8</v>
      </c>
      <c r="E173" s="4" t="n">
        <v>3</v>
      </c>
      <c r="F173" s="4" t="n">
        <v>1</v>
      </c>
      <c r="G173" s="4" t="n">
        <v>1</v>
      </c>
      <c r="H173" s="4" t="n">
        <v>13</v>
      </c>
      <c r="I173" s="4" t="n">
        <v>8</v>
      </c>
      <c r="J173" s="5" t="n">
        <v>101039.7</v>
      </c>
      <c r="K173" s="4" t="inlineStr"/>
    </row>
    <row r="174">
      <c r="A174" s="7" t="inlineStr">
        <is>
          <t>2026-08</t>
        </is>
      </c>
      <c r="B174" s="16" t="n">
        <v>46240</v>
      </c>
      <c r="C174" s="7" t="inlineStr">
        <is>
          <t>Jueves</t>
        </is>
      </c>
      <c r="D174" s="7" t="n">
        <v>7</v>
      </c>
      <c r="E174" s="7" t="n">
        <v>2</v>
      </c>
      <c r="F174" s="7" t="n">
        <v>1</v>
      </c>
      <c r="G174" s="7" t="n">
        <v>2</v>
      </c>
      <c r="H174" s="7" t="n">
        <v>12</v>
      </c>
      <c r="I174" s="7" t="n">
        <v>7</v>
      </c>
      <c r="J174" s="8" t="n">
        <v>82305.82000000001</v>
      </c>
      <c r="K174" s="7" t="inlineStr"/>
    </row>
    <row r="175">
      <c r="A175" s="4" t="inlineStr">
        <is>
          <t>2026-08</t>
        </is>
      </c>
      <c r="B175" s="15" t="n">
        <v>46241</v>
      </c>
      <c r="C175" s="4" t="inlineStr">
        <is>
          <t>Viernes</t>
        </is>
      </c>
      <c r="D175" s="4" t="n">
        <v>8</v>
      </c>
      <c r="E175" s="4" t="n">
        <v>6</v>
      </c>
      <c r="F175" s="4" t="n">
        <v>3</v>
      </c>
      <c r="G175" s="4" t="n">
        <v>2</v>
      </c>
      <c r="H175" s="4" t="n">
        <v>19</v>
      </c>
      <c r="I175" s="4" t="n">
        <v>8</v>
      </c>
      <c r="J175" s="5" t="n">
        <v>157424.82</v>
      </c>
      <c r="K175" s="4" t="inlineStr"/>
    </row>
    <row r="176">
      <c r="A176" s="7" t="inlineStr">
        <is>
          <t>2026-08</t>
        </is>
      </c>
      <c r="B176" s="16" t="n">
        <v>46244</v>
      </c>
      <c r="C176" s="7" t="inlineStr">
        <is>
          <t>Lunes</t>
        </is>
      </c>
      <c r="D176" s="7" t="n">
        <v>13</v>
      </c>
      <c r="E176" s="7" t="n">
        <v>4</v>
      </c>
      <c r="F176" s="7" t="n">
        <v>2</v>
      </c>
      <c r="G176" s="7" t="n">
        <v>3</v>
      </c>
      <c r="H176" s="7" t="n">
        <v>22</v>
      </c>
      <c r="I176" s="7" t="n">
        <v>13</v>
      </c>
      <c r="J176" s="8" t="n">
        <v>149897.5</v>
      </c>
      <c r="K176" s="7" t="inlineStr">
        <is>
          <t>SI</t>
        </is>
      </c>
    </row>
    <row r="177">
      <c r="A177" s="4" t="inlineStr">
        <is>
          <t>2026-08</t>
        </is>
      </c>
      <c r="B177" s="15" t="n">
        <v>46245</v>
      </c>
      <c r="C177" s="4" t="inlineStr">
        <is>
          <t>Martes</t>
        </is>
      </c>
      <c r="D177" s="4" t="n">
        <v>12</v>
      </c>
      <c r="E177" s="4" t="n">
        <v>1</v>
      </c>
      <c r="F177" s="4" t="n">
        <v>2</v>
      </c>
      <c r="G177" s="4" t="n">
        <v>4</v>
      </c>
      <c r="H177" s="4" t="n">
        <v>19</v>
      </c>
      <c r="I177" s="4" t="n">
        <v>12</v>
      </c>
      <c r="J177" s="5" t="n">
        <v>96135.92999999999</v>
      </c>
      <c r="K177" s="4" t="inlineStr"/>
    </row>
    <row r="178">
      <c r="A178" s="7" t="inlineStr">
        <is>
          <t>2026-08</t>
        </is>
      </c>
      <c r="B178" s="16" t="n">
        <v>46246</v>
      </c>
      <c r="C178" s="7" t="inlineStr">
        <is>
          <t>Miercoles</t>
        </is>
      </c>
      <c r="D178" s="7" t="n">
        <v>7</v>
      </c>
      <c r="E178" s="7" t="n">
        <v>1</v>
      </c>
      <c r="F178" s="7" t="n">
        <v>5</v>
      </c>
      <c r="G178" s="7" t="n">
        <v>1</v>
      </c>
      <c r="H178" s="7" t="n">
        <v>14</v>
      </c>
      <c r="I178" s="7" t="n">
        <v>7</v>
      </c>
      <c r="J178" s="8" t="n">
        <v>89363.53999999999</v>
      </c>
      <c r="K178" s="7" t="inlineStr"/>
    </row>
    <row r="179">
      <c r="A179" s="4" t="inlineStr">
        <is>
          <t>2026-08</t>
        </is>
      </c>
      <c r="B179" s="15" t="n">
        <v>46247</v>
      </c>
      <c r="C179" s="4" t="inlineStr">
        <is>
          <t>Jueves</t>
        </is>
      </c>
      <c r="D179" s="4" t="n">
        <v>10</v>
      </c>
      <c r="E179" s="4" t="n">
        <v>4</v>
      </c>
      <c r="F179" s="4" t="n">
        <v>0</v>
      </c>
      <c r="G179" s="4" t="n">
        <v>1</v>
      </c>
      <c r="H179" s="4" t="n">
        <v>15</v>
      </c>
      <c r="I179" s="4" t="n">
        <v>10</v>
      </c>
      <c r="J179" s="5" t="n">
        <v>113941.64</v>
      </c>
      <c r="K179" s="4" t="inlineStr"/>
    </row>
    <row r="182" ht="22" customHeight="1">
      <c r="A182" s="1" t="inlineStr">
        <is>
          <t>K8 · TASA DE EXTORNOS</t>
        </is>
      </c>
    </row>
    <row r="183">
      <c r="A183" s="2" t="inlineStr">
        <is>
          <t>Un extorno = un N° Mov Extorno unico. Imputable = motivo 'ERROR USUARIO'. Tasa = extornos / TOTAL de operaciones del mes (Pago Lote + CTS + aperturas + pendientes).</t>
        </is>
      </c>
    </row>
    <row r="185">
      <c r="A185" s="3" t="inlineStr">
        <is>
          <t>Mes</t>
        </is>
      </c>
      <c r="B185" s="3" t="inlineStr">
        <is>
          <t>K1 Pago Lote</t>
        </is>
      </c>
      <c r="C185" s="3" t="inlineStr">
        <is>
          <t>K3 CTS</t>
        </is>
      </c>
      <c r="D185" s="3" t="inlineStr">
        <is>
          <t>Vol Apertura CTS</t>
        </is>
      </c>
      <c r="E185" s="3" t="inlineStr">
        <is>
          <t>Vol Apertura Ahorros/Sueldo</t>
        </is>
      </c>
      <c r="F185" s="3" t="inlineStr">
        <is>
          <t>Vol Pendientes x Devolver</t>
        </is>
      </c>
      <c r="G185" s="3" t="inlineStr">
        <is>
          <t>Total Ops (denominador)</t>
        </is>
      </c>
      <c r="H185" s="3" t="inlineStr">
        <is>
          <t>Extornos Totales</t>
        </is>
      </c>
      <c r="I185" s="3" t="inlineStr">
        <is>
          <t>Imputables (Error Usuario)</t>
        </is>
      </c>
      <c r="J185" s="3" t="inlineStr">
        <is>
          <t>Error Sistema</t>
        </is>
      </c>
      <c r="K185" s="3" t="inlineStr">
        <is>
          <t>Error Cliente</t>
        </is>
      </c>
      <c r="L185" s="3" t="inlineStr">
        <is>
          <t>Tasa Imputable</t>
        </is>
      </c>
      <c r="M185" s="3" t="inlineStr">
        <is>
          <t>Tasa Total</t>
        </is>
      </c>
      <c r="N185" s="3" t="inlineStr">
        <is>
          <t>Monto Extornado (S/)</t>
        </is>
      </c>
    </row>
    <row r="186">
      <c r="A186" s="7" t="inlineStr">
        <is>
          <t>2026-04</t>
        </is>
      </c>
      <c r="B186" s="7" t="n">
        <v>25</v>
      </c>
      <c r="C186" s="7" t="n">
        <v>13</v>
      </c>
      <c r="D186" s="7" t="n">
        <v>0</v>
      </c>
      <c r="E186" s="7" t="n">
        <v>0</v>
      </c>
      <c r="F186" s="7" t="n">
        <v>10</v>
      </c>
      <c r="G186" s="7" t="n">
        <v>48</v>
      </c>
      <c r="H186" s="7" t="n">
        <v>5</v>
      </c>
      <c r="I186" s="7" t="n">
        <v>3</v>
      </c>
      <c r="J186" s="7" t="n">
        <v>1</v>
      </c>
      <c r="K186" s="7" t="n">
        <v>1</v>
      </c>
      <c r="L186" s="9">
        <f>IF(G186=0,"",I186/G186)</f>
        <v/>
      </c>
      <c r="M186" s="9">
        <f>IF(G186=0,"",H186/G186)</f>
        <v/>
      </c>
      <c r="N186" s="8" t="n">
        <v>18494.31</v>
      </c>
    </row>
    <row r="187">
      <c r="A187" s="4" t="inlineStr">
        <is>
          <t>2026-05</t>
        </is>
      </c>
      <c r="B187" s="4" t="n">
        <v>24</v>
      </c>
      <c r="C187" s="4" t="n">
        <v>218</v>
      </c>
      <c r="D187" s="4" t="n">
        <v>0</v>
      </c>
      <c r="E187" s="4" t="n">
        <v>0</v>
      </c>
      <c r="F187" s="4" t="n">
        <v>11</v>
      </c>
      <c r="G187" s="4" t="n">
        <v>253</v>
      </c>
      <c r="H187" s="4" t="n">
        <v>6</v>
      </c>
      <c r="I187" s="4" t="n">
        <v>2</v>
      </c>
      <c r="J187" s="4" t="n">
        <v>3</v>
      </c>
      <c r="K187" s="4" t="n">
        <v>1</v>
      </c>
      <c r="L187" s="6">
        <f>IF(G187=0,"",I187/G187)</f>
        <v/>
      </c>
      <c r="M187" s="6">
        <f>IF(G187=0,"",H187/G187)</f>
        <v/>
      </c>
      <c r="N187" s="5" t="n">
        <v>29371.31</v>
      </c>
    </row>
    <row r="188">
      <c r="A188" s="7" t="inlineStr">
        <is>
          <t>2026-06</t>
        </is>
      </c>
      <c r="B188" s="7" t="n">
        <v>50</v>
      </c>
      <c r="C188" s="7" t="n">
        <v>62</v>
      </c>
      <c r="D188" s="7" t="n">
        <v>0</v>
      </c>
      <c r="E188" s="7" t="n">
        <v>0</v>
      </c>
      <c r="F188" s="7" t="n">
        <v>17</v>
      </c>
      <c r="G188" s="7" t="n">
        <v>129</v>
      </c>
      <c r="H188" s="7" t="n">
        <v>2</v>
      </c>
      <c r="I188" s="7" t="n">
        <v>1</v>
      </c>
      <c r="J188" s="7" t="n">
        <v>0</v>
      </c>
      <c r="K188" s="7" t="n">
        <v>1</v>
      </c>
      <c r="L188" s="9">
        <f>IF(G188=0,"",I188/G188)</f>
        <v/>
      </c>
      <c r="M188" s="9">
        <f>IF(G188=0,"",H188/G188)</f>
        <v/>
      </c>
      <c r="N188" s="8" t="n">
        <v>11892.43</v>
      </c>
    </row>
    <row r="189">
      <c r="A189" s="4" t="inlineStr">
        <is>
          <t>2026-07</t>
        </is>
      </c>
      <c r="B189" s="4" t="n">
        <v>175</v>
      </c>
      <c r="C189" s="4" t="n">
        <v>29</v>
      </c>
      <c r="D189" s="4" t="n">
        <v>0</v>
      </c>
      <c r="E189" s="4" t="n">
        <v>0</v>
      </c>
      <c r="F189" s="4" t="n">
        <v>18</v>
      </c>
      <c r="G189" s="4" t="n">
        <v>222</v>
      </c>
      <c r="H189" s="4" t="n">
        <v>2</v>
      </c>
      <c r="I189" s="4" t="n">
        <v>2</v>
      </c>
      <c r="J189" s="4" t="n">
        <v>0</v>
      </c>
      <c r="K189" s="4" t="n">
        <v>0</v>
      </c>
      <c r="L189" s="6">
        <f>IF(G189=0,"",I189/G189)</f>
        <v/>
      </c>
      <c r="M189" s="6">
        <f>IF(G189=0,"",H189/G189)</f>
        <v/>
      </c>
      <c r="N189" s="5" t="n">
        <v>8194.74</v>
      </c>
    </row>
    <row r="190">
      <c r="A190" s="10" t="inlineStr">
        <is>
          <t>2026-08</t>
        </is>
      </c>
      <c r="B190" s="10" t="n">
        <v>77</v>
      </c>
      <c r="C190" s="10" t="n">
        <v>23</v>
      </c>
      <c r="D190" s="10" t="n">
        <v>5</v>
      </c>
      <c r="E190" s="10" t="n">
        <v>15</v>
      </c>
      <c r="F190" s="10" t="n">
        <v>16</v>
      </c>
      <c r="G190" s="10" t="n">
        <v>136</v>
      </c>
      <c r="H190" s="10" t="n">
        <v>2</v>
      </c>
      <c r="I190" s="10" t="n">
        <v>1</v>
      </c>
      <c r="J190" s="10" t="n">
        <v>0</v>
      </c>
      <c r="K190" s="10" t="n">
        <v>1</v>
      </c>
      <c r="L190" s="12">
        <f>IF(G190=0,"",I190/G190)</f>
        <v/>
      </c>
      <c r="M190" s="12">
        <f>IF(G190=0,"",H190/G190)</f>
        <v/>
      </c>
      <c r="N190" s="11" t="n">
        <v>10501.57</v>
      </c>
    </row>
    <row r="192">
      <c r="A192" s="13" t="inlineStr">
        <is>
          <t>TOTAL</t>
        </is>
      </c>
      <c r="B192" s="13" t="n"/>
      <c r="C192" s="13" t="n"/>
      <c r="D192" s="13" t="n"/>
      <c r="E192" s="13" t="n"/>
      <c r="F192" s="13" t="n"/>
      <c r="G192" s="13" t="n"/>
      <c r="H192" s="13">
        <f>SUM(H186:H190)</f>
        <v/>
      </c>
      <c r="I192" s="13">
        <f>SUM(I186:I190)</f>
        <v/>
      </c>
      <c r="J192" s="13">
        <f>SUM(J186:J190)</f>
        <v/>
      </c>
      <c r="K192" s="13">
        <f>SUM(K186:K190)</f>
        <v/>
      </c>
      <c r="L192" s="13" t="n"/>
      <c r="M192" s="13" t="n"/>
      <c r="N192" s="14">
        <f>SUM(N186:N190)</f>
        <v/>
      </c>
    </row>
    <row r="195" ht="22" customHeight="1">
      <c r="A195" s="1" t="inlineStr">
        <is>
          <t>K9 · APERTURAS Y ABONOS</t>
        </is>
      </c>
    </row>
    <row r="196">
      <c r="A196" s="2" t="inlineStr">
        <is>
          <t>Aperturas: conteo por familia del Detalle (tipos APERTURA...).</t>
        </is>
      </c>
    </row>
    <row r="198">
      <c r="A198" s="2" t="inlineStr">
        <is>
          <t>Abonos: filtrados a lo que hace el EQUIPO (tienda = 'OFICINA PRINCIPAL'), igual que las aperturas -- el total de la red queda como columna de contexto para comparar.</t>
        </is>
      </c>
    </row>
    <row r="200">
      <c r="A200" s="3" t="inlineStr">
        <is>
          <t>Mes</t>
        </is>
      </c>
      <c r="B200" s="3" t="inlineStr">
        <is>
          <t>Aperturas CTS</t>
        </is>
      </c>
      <c r="C200" s="3" t="inlineStr">
        <is>
          <t>Aperturas Ahorros/Sueldo</t>
        </is>
      </c>
      <c r="D200" s="3" t="inlineStr">
        <is>
          <t>Total Aperturas</t>
        </is>
      </c>
      <c r="E200" s="3" t="inlineStr">
        <is>
          <t>Abonos Sueldo</t>
        </is>
      </c>
      <c r="F200" s="3" t="inlineStr">
        <is>
          <t>% Abonos Exitosos</t>
        </is>
      </c>
      <c r="G200" s="3" t="inlineStr">
        <is>
          <t>Empleadores</t>
        </is>
      </c>
      <c r="H200" s="3" t="inlineStr">
        <is>
          <t>Abonos Sueldo Red (contexto)</t>
        </is>
      </c>
      <c r="I200" s="3" t="inlineStr">
        <is>
          <t>% Abonos Centralizados</t>
        </is>
      </c>
      <c r="J200" s="3" t="inlineStr">
        <is>
          <t>Nota</t>
        </is>
      </c>
    </row>
    <row r="201">
      <c r="A201" s="4" t="inlineStr">
        <is>
          <t>2026-04</t>
        </is>
      </c>
      <c r="B201" s="4" t="n">
        <v>0</v>
      </c>
      <c r="C201" s="4" t="n">
        <v>0</v>
      </c>
      <c r="D201" s="4" t="n">
        <v>0</v>
      </c>
      <c r="E201" s="4" t="n">
        <v>0</v>
      </c>
      <c r="F201" s="6" t="n">
        <v>0</v>
      </c>
      <c r="G201" s="4" t="n">
        <v>0</v>
      </c>
      <c r="H201" s="4" t="n">
        <v>193</v>
      </c>
      <c r="I201" s="6" t="n">
        <v>0</v>
      </c>
      <c r="J201" s="4" t="inlineStr"/>
    </row>
    <row r="202">
      <c r="A202" s="7" t="inlineStr">
        <is>
          <t>2026-05</t>
        </is>
      </c>
      <c r="B202" s="7" t="n">
        <v>0</v>
      </c>
      <c r="C202" s="7" t="n">
        <v>0</v>
      </c>
      <c r="D202" s="7" t="n">
        <v>0</v>
      </c>
      <c r="E202" s="7" t="n">
        <v>0</v>
      </c>
      <c r="F202" s="9" t="n">
        <v>0</v>
      </c>
      <c r="G202" s="7" t="n">
        <v>0</v>
      </c>
      <c r="H202" s="7" t="n">
        <v>191</v>
      </c>
      <c r="I202" s="9" t="n">
        <v>0</v>
      </c>
      <c r="J202" s="7" t="inlineStr"/>
    </row>
    <row r="203">
      <c r="A203" s="4" t="inlineStr">
        <is>
          <t>2026-06</t>
        </is>
      </c>
      <c r="B203" s="4" t="n">
        <v>0</v>
      </c>
      <c r="C203" s="4" t="n">
        <v>0</v>
      </c>
      <c r="D203" s="4" t="n">
        <v>0</v>
      </c>
      <c r="E203" s="4" t="n">
        <v>0</v>
      </c>
      <c r="F203" s="6" t="n">
        <v>0</v>
      </c>
      <c r="G203" s="4" t="n">
        <v>0</v>
      </c>
      <c r="H203" s="4" t="n">
        <v>203</v>
      </c>
      <c r="I203" s="6" t="n">
        <v>0</v>
      </c>
      <c r="J203" s="4" t="inlineStr"/>
    </row>
    <row r="204">
      <c r="A204" s="7" t="inlineStr">
        <is>
          <t>2026-07</t>
        </is>
      </c>
      <c r="B204" s="7" t="n">
        <v>0</v>
      </c>
      <c r="C204" s="7" t="n">
        <v>0</v>
      </c>
      <c r="D204" s="7" t="n">
        <v>0</v>
      </c>
      <c r="E204" s="7" t="n">
        <v>0</v>
      </c>
      <c r="F204" s="9" t="n">
        <v>0</v>
      </c>
      <c r="G204" s="7" t="n">
        <v>0</v>
      </c>
      <c r="H204" s="7" t="n">
        <v>162</v>
      </c>
      <c r="I204" s="9" t="n">
        <v>0</v>
      </c>
      <c r="J204" s="7" t="inlineStr"/>
    </row>
    <row r="205">
      <c r="A205" s="10" t="inlineStr">
        <is>
          <t>2026-08</t>
        </is>
      </c>
      <c r="B205" s="10" t="n">
        <v>5</v>
      </c>
      <c r="C205" s="10" t="n">
        <v>15</v>
      </c>
      <c r="D205" s="10" t="n">
        <v>20</v>
      </c>
      <c r="E205" s="10" t="n">
        <v>211</v>
      </c>
      <c r="F205" s="12" t="n">
        <v>0.8673</v>
      </c>
      <c r="G205" s="10" t="n">
        <v>8</v>
      </c>
      <c r="H205" s="10" t="n">
        <v>380</v>
      </c>
      <c r="I205" s="12" t="n">
        <v>0.5553</v>
      </c>
      <c r="J205" s="10" t="inlineStr"/>
    </row>
    <row r="207" ht="22" customHeight="1">
      <c r="A207" s="1" t="inlineStr">
        <is>
          <t>AUXILIAR · TIEMPO DE PROCESAMIENTO (ESTIMADO)</t>
        </is>
      </c>
    </row>
    <row r="208">
      <c r="A208" s="2" t="inlineStr">
        <is>
          <t>ADVERTENCIA: estimado, NO cronometrado. Supuesto: 1.3 min/Pago Lote y 4.0 min/CTS.</t>
        </is>
      </c>
    </row>
    <row r="210">
      <c r="A210" s="3" t="inlineStr">
        <is>
          <t>Mes</t>
        </is>
      </c>
      <c r="B210" s="3" t="inlineStr">
        <is>
          <t>K1 Pago Lote</t>
        </is>
      </c>
      <c r="C210" s="3" t="inlineStr">
        <is>
          <t>K3 CTS</t>
        </is>
      </c>
      <c r="D210" s="3" t="inlineStr">
        <is>
          <t>Horas Pago Lote</t>
        </is>
      </c>
      <c r="E210" s="3" t="inlineStr">
        <is>
          <t>Horas CTS</t>
        </is>
      </c>
      <c r="F210" s="3" t="inlineStr">
        <is>
          <t>Horas Totales Estim.</t>
        </is>
      </c>
      <c r="G210" s="3" t="inlineStr">
        <is>
          <t>Equiv. Dias (8h)</t>
        </is>
      </c>
    </row>
    <row r="211">
      <c r="A211" s="4" t="inlineStr">
        <is>
          <t>2026-04</t>
        </is>
      </c>
      <c r="B211" s="4" t="n">
        <v>25</v>
      </c>
      <c r="C211" s="4" t="n">
        <v>13</v>
      </c>
      <c r="D211" s="4" t="n">
        <v>0.5</v>
      </c>
      <c r="E211" s="4" t="n">
        <v>0.9</v>
      </c>
      <c r="F211" s="4" t="n">
        <v>1.4</v>
      </c>
      <c r="G211" s="4" t="n">
        <v>0.2</v>
      </c>
    </row>
    <row r="212">
      <c r="A212" s="7" t="inlineStr">
        <is>
          <t>2026-05</t>
        </is>
      </c>
      <c r="B212" s="7" t="n">
        <v>24</v>
      </c>
      <c r="C212" s="7" t="n">
        <v>218</v>
      </c>
      <c r="D212" s="7" t="n">
        <v>0.5</v>
      </c>
      <c r="E212" s="7" t="n">
        <v>14.5</v>
      </c>
      <c r="F212" s="7" t="n">
        <v>15.1</v>
      </c>
      <c r="G212" s="7" t="n">
        <v>1.9</v>
      </c>
    </row>
    <row r="213">
      <c r="A213" s="4" t="inlineStr">
        <is>
          <t>2026-06</t>
        </is>
      </c>
      <c r="B213" s="4" t="n">
        <v>50</v>
      </c>
      <c r="C213" s="4" t="n">
        <v>62</v>
      </c>
      <c r="D213" s="4" t="n">
        <v>1.1</v>
      </c>
      <c r="E213" s="4" t="n">
        <v>4.1</v>
      </c>
      <c r="F213" s="4" t="n">
        <v>5.2</v>
      </c>
      <c r="G213" s="4" t="n">
        <v>0.7</v>
      </c>
    </row>
    <row r="214">
      <c r="A214" s="7" t="inlineStr">
        <is>
          <t>2026-07</t>
        </is>
      </c>
      <c r="B214" s="7" t="n">
        <v>175</v>
      </c>
      <c r="C214" s="7" t="n">
        <v>29</v>
      </c>
      <c r="D214" s="7" t="n">
        <v>3.8</v>
      </c>
      <c r="E214" s="7" t="n">
        <v>1.9</v>
      </c>
      <c r="F214" s="7" t="n">
        <v>5.7</v>
      </c>
      <c r="G214" s="7" t="n">
        <v>0.7</v>
      </c>
    </row>
    <row r="215">
      <c r="A215" s="10" t="inlineStr">
        <is>
          <t>2026-08</t>
        </is>
      </c>
      <c r="B215" s="10" t="n">
        <v>77</v>
      </c>
      <c r="C215" s="10" t="n">
        <v>23</v>
      </c>
      <c r="D215" s="10" t="n">
        <v>1.7</v>
      </c>
      <c r="E215" s="10" t="n">
        <v>1.5</v>
      </c>
      <c r="F215" s="10" t="n">
        <v>3.2</v>
      </c>
      <c r="G215" s="10" t="n">
        <v>0.4</v>
      </c>
    </row>
    <row r="218" ht="22" customHeight="1">
      <c r="A218" s="1" t="inlineStr">
        <is>
          <t>K6 · CENTRALIZACION — EQUIPO vs AGENCIAS</t>
        </is>
      </c>
    </row>
    <row r="219">
      <c r="A219" s="2" t="inlineStr">
        <is>
          <t>Fuente: cruce del archivo de OFICINA PRINCIPAL (lo que hace el equipo) contra el de TIENDAS (lo que las agencias siguen haciendo).</t>
        </is>
      </c>
    </row>
    <row r="221">
      <c r="A221" s="2" t="inlineStr">
        <is>
          <t>DOS REGLAS: (1) no se cuenta a las agencias antes de que el proceso entre en produccion para esa familia; (2) el denominador es el universo real de la familia y solo las agencias ya incorporadas -- no toda la red.</t>
        </is>
      </c>
    </row>
    <row r="223" ht="22" customHeight="1">
      <c r="A223" s="1" t="inlineStr">
        <is>
          <t>K6a · EFICACIA DE CENTRALIZACION (dentro del alcance)</t>
        </is>
      </c>
    </row>
    <row r="224">
      <c r="A224" s="2" t="inlineStr">
        <is>
          <t>De lo que ya esta dentro del alcance, cuanto lo ejecuta el equipo.</t>
        </is>
      </c>
    </row>
    <row r="226">
      <c r="A226" s="3" t="inlineStr">
        <is>
          <t>Mes</t>
        </is>
      </c>
      <c r="B226" s="3" t="inlineStr">
        <is>
          <t>Familia</t>
        </is>
      </c>
      <c r="C226" s="3" t="inlineStr">
        <is>
          <t>Ops Centrales</t>
        </is>
      </c>
      <c r="D226" s="3" t="inlineStr">
        <is>
          <t>Ops en Tienda (ya incorporadas)</t>
        </is>
      </c>
      <c r="E226" s="3" t="inlineStr">
        <is>
          <t>Total en Alcance</t>
        </is>
      </c>
      <c r="F226" s="3" t="inlineStr">
        <is>
          <t>% Centralizacion</t>
        </is>
      </c>
    </row>
    <row r="227">
      <c r="A227" s="4" t="inlineStr">
        <is>
          <t>2026-04</t>
        </is>
      </c>
      <c r="B227" s="4" t="inlineStr">
        <is>
          <t>Pago Lote</t>
        </is>
      </c>
      <c r="C227" s="4" t="n">
        <v>25</v>
      </c>
      <c r="D227" s="4" t="n">
        <v>1</v>
      </c>
      <c r="E227" s="4">
        <f>C227+D227</f>
        <v/>
      </c>
      <c r="F227" s="6">
        <f>IF(E227=0,"",C227/E227)</f>
        <v/>
      </c>
    </row>
    <row r="228">
      <c r="A228" s="7" t="inlineStr">
        <is>
          <t>2026-05</t>
        </is>
      </c>
      <c r="B228" s="7" t="inlineStr">
        <is>
          <t>Pago Lote</t>
        </is>
      </c>
      <c r="C228" s="7" t="n">
        <v>24</v>
      </c>
      <c r="D228" s="7" t="n">
        <v>2</v>
      </c>
      <c r="E228" s="7">
        <f>C228+D228</f>
        <v/>
      </c>
      <c r="F228" s="9">
        <f>IF(E228=0,"",C228/E228)</f>
        <v/>
      </c>
    </row>
    <row r="229">
      <c r="A229" s="4" t="inlineStr">
        <is>
          <t>2026-06</t>
        </is>
      </c>
      <c r="B229" s="4" t="inlineStr">
        <is>
          <t>Pago Lote</t>
        </is>
      </c>
      <c r="C229" s="4" t="n">
        <v>50</v>
      </c>
      <c r="D229" s="4" t="n">
        <v>6</v>
      </c>
      <c r="E229" s="4">
        <f>C229+D229</f>
        <v/>
      </c>
      <c r="F229" s="6">
        <f>IF(E229=0,"",C229/E229)</f>
        <v/>
      </c>
    </row>
    <row r="230">
      <c r="A230" s="7" t="inlineStr">
        <is>
          <t>2026-07</t>
        </is>
      </c>
      <c r="B230" s="7" t="inlineStr">
        <is>
          <t>Pago Lote</t>
        </is>
      </c>
      <c r="C230" s="7" t="n">
        <v>175</v>
      </c>
      <c r="D230" s="7" t="n">
        <v>4</v>
      </c>
      <c r="E230" s="7">
        <f>C230+D230</f>
        <v/>
      </c>
      <c r="F230" s="9">
        <f>IF(E230=0,"",C230/E230)</f>
        <v/>
      </c>
    </row>
    <row r="231">
      <c r="A231" s="10" t="inlineStr">
        <is>
          <t>2026-08</t>
        </is>
      </c>
      <c r="B231" s="10" t="inlineStr">
        <is>
          <t>Pago Lote</t>
        </is>
      </c>
      <c r="C231" s="10" t="n">
        <v>77</v>
      </c>
      <c r="D231" s="10" t="n">
        <v>4</v>
      </c>
      <c r="E231" s="10">
        <f>C231+D231</f>
        <v/>
      </c>
      <c r="F231" s="12">
        <f>IF(E231=0,"",C231/E231)</f>
        <v/>
      </c>
    </row>
    <row r="232">
      <c r="A232" s="7" t="inlineStr">
        <is>
          <t>2026-04</t>
        </is>
      </c>
      <c r="B232" s="7" t="inlineStr">
        <is>
          <t>Deposito CTS</t>
        </is>
      </c>
      <c r="C232" s="7" t="n">
        <v>13</v>
      </c>
      <c r="D232" s="7" t="n">
        <v>11</v>
      </c>
      <c r="E232" s="7">
        <f>C232+D232</f>
        <v/>
      </c>
      <c r="F232" s="9">
        <f>IF(E232=0,"",C232/E232)</f>
        <v/>
      </c>
    </row>
    <row r="233">
      <c r="A233" s="4" t="inlineStr">
        <is>
          <t>2026-05</t>
        </is>
      </c>
      <c r="B233" s="4" t="inlineStr">
        <is>
          <t>Deposito CTS</t>
        </is>
      </c>
      <c r="C233" s="4" t="n">
        <v>218</v>
      </c>
      <c r="D233" s="4" t="n">
        <v>15</v>
      </c>
      <c r="E233" s="4">
        <f>C233+D233</f>
        <v/>
      </c>
      <c r="F233" s="6">
        <f>IF(E233=0,"",C233/E233)</f>
        <v/>
      </c>
    </row>
    <row r="234">
      <c r="A234" s="7" t="inlineStr">
        <is>
          <t>2026-06</t>
        </is>
      </c>
      <c r="B234" s="7" t="inlineStr">
        <is>
          <t>Deposito CTS</t>
        </is>
      </c>
      <c r="C234" s="7" t="n">
        <v>62</v>
      </c>
      <c r="D234" s="7" t="n">
        <v>24</v>
      </c>
      <c r="E234" s="7">
        <f>C234+D234</f>
        <v/>
      </c>
      <c r="F234" s="9">
        <f>IF(E234=0,"",C234/E234)</f>
        <v/>
      </c>
    </row>
    <row r="235">
      <c r="A235" s="4" t="inlineStr">
        <is>
          <t>2026-07</t>
        </is>
      </c>
      <c r="B235" s="4" t="inlineStr">
        <is>
          <t>Deposito CTS</t>
        </is>
      </c>
      <c r="C235" s="4" t="n">
        <v>29</v>
      </c>
      <c r="D235" s="4" t="n">
        <v>17</v>
      </c>
      <c r="E235" s="4">
        <f>C235+D235</f>
        <v/>
      </c>
      <c r="F235" s="6">
        <f>IF(E235=0,"",C235/E235)</f>
        <v/>
      </c>
    </row>
    <row r="236">
      <c r="A236" s="10" t="inlineStr">
        <is>
          <t>2026-08</t>
        </is>
      </c>
      <c r="B236" s="10" t="inlineStr">
        <is>
          <t>Deposito CTS</t>
        </is>
      </c>
      <c r="C236" s="10" t="n">
        <v>23</v>
      </c>
      <c r="D236" s="10" t="n">
        <v>14</v>
      </c>
      <c r="E236" s="10">
        <f>C236+D236</f>
        <v/>
      </c>
      <c r="F236" s="12">
        <f>IF(E236=0,"",C236/E236)</f>
        <v/>
      </c>
    </row>
    <row r="237">
      <c r="A237" s="10" t="inlineStr">
        <is>
          <t>2026-08</t>
        </is>
      </c>
      <c r="B237" s="10" t="inlineStr">
        <is>
          <t>Apertura CTS</t>
        </is>
      </c>
      <c r="C237" s="10" t="n">
        <v>5</v>
      </c>
      <c r="D237" s="10" t="n">
        <v>3</v>
      </c>
      <c r="E237" s="10">
        <f>C237+D237</f>
        <v/>
      </c>
      <c r="F237" s="12">
        <f>IF(E237=0,"",C237/E237)</f>
        <v/>
      </c>
    </row>
    <row r="238">
      <c r="A238" s="10" t="inlineStr">
        <is>
          <t>2026-08</t>
        </is>
      </c>
      <c r="B238" s="10" t="inlineStr">
        <is>
          <t>Apertura Ahorros/Sueldo</t>
        </is>
      </c>
      <c r="C238" s="10" t="n">
        <v>15</v>
      </c>
      <c r="D238" s="10" t="n">
        <v>2</v>
      </c>
      <c r="E238" s="10">
        <f>C238+D238</f>
        <v/>
      </c>
      <c r="F238" s="12">
        <f>IF(E238=0,"",C238/E238)</f>
        <v/>
      </c>
    </row>
    <row r="239">
      <c r="A239" s="4" t="inlineStr">
        <is>
          <t>2026-04</t>
        </is>
      </c>
      <c r="B239" s="4" t="inlineStr">
        <is>
          <t>Reg. Pendientes x Devolver</t>
        </is>
      </c>
      <c r="C239" s="4" t="n">
        <v>10</v>
      </c>
      <c r="D239" s="4" t="n">
        <v>0</v>
      </c>
      <c r="E239" s="4">
        <f>C239+D239</f>
        <v/>
      </c>
      <c r="F239" s="6">
        <f>IF(E239=0,"",C239/E239)</f>
        <v/>
      </c>
    </row>
    <row r="240">
      <c r="A240" s="7" t="inlineStr">
        <is>
          <t>2026-05</t>
        </is>
      </c>
      <c r="B240" s="7" t="inlineStr">
        <is>
          <t>Reg. Pendientes x Devolver</t>
        </is>
      </c>
      <c r="C240" s="7" t="n">
        <v>11</v>
      </c>
      <c r="D240" s="7" t="n">
        <v>0</v>
      </c>
      <c r="E240" s="7">
        <f>C240+D240</f>
        <v/>
      </c>
      <c r="F240" s="9">
        <f>IF(E240=0,"",C240/E240)</f>
        <v/>
      </c>
    </row>
    <row r="241">
      <c r="A241" s="4" t="inlineStr">
        <is>
          <t>2026-06</t>
        </is>
      </c>
      <c r="B241" s="4" t="inlineStr">
        <is>
          <t>Reg. Pendientes x Devolver</t>
        </is>
      </c>
      <c r="C241" s="4" t="n">
        <v>17</v>
      </c>
      <c r="D241" s="4" t="n">
        <v>0</v>
      </c>
      <c r="E241" s="4">
        <f>C241+D241</f>
        <v/>
      </c>
      <c r="F241" s="6">
        <f>IF(E241=0,"",C241/E241)</f>
        <v/>
      </c>
    </row>
    <row r="242">
      <c r="A242" s="7" t="inlineStr">
        <is>
          <t>2026-07</t>
        </is>
      </c>
      <c r="B242" s="7" t="inlineStr">
        <is>
          <t>Reg. Pendientes x Devolver</t>
        </is>
      </c>
      <c r="C242" s="7" t="n">
        <v>18</v>
      </c>
      <c r="D242" s="7" t="n">
        <v>0</v>
      </c>
      <c r="E242" s="7">
        <f>C242+D242</f>
        <v/>
      </c>
      <c r="F242" s="9">
        <f>IF(E242=0,"",C242/E242)</f>
        <v/>
      </c>
    </row>
    <row r="243">
      <c r="A243" s="10" t="inlineStr">
        <is>
          <t>2026-08</t>
        </is>
      </c>
      <c r="B243" s="10" t="inlineStr">
        <is>
          <t>Reg. Pendientes x Devolver</t>
        </is>
      </c>
      <c r="C243" s="10" t="n">
        <v>16</v>
      </c>
      <c r="D243" s="10" t="n">
        <v>0</v>
      </c>
      <c r="E243" s="10">
        <f>C243+D243</f>
        <v/>
      </c>
      <c r="F243" s="12">
        <f>IF(E243=0,"",C243/E243)</f>
        <v/>
      </c>
    </row>
    <row r="245" ht="22" customHeight="1">
      <c r="A245" s="1" t="inlineStr">
        <is>
          <t>K6b · COBERTURA DE DESPLIEGUE</t>
        </is>
      </c>
    </row>
    <row r="246">
      <c r="A246" s="2" t="inlineStr">
        <is>
          <t>Cuantas agencias del universo ya se incorporaron. ESTO es lo que de verdad crece con el tiempo. Para Pago Lote, el universo son las agencias CON CONVENIO, no toda la red.</t>
        </is>
      </c>
    </row>
    <row r="248">
      <c r="A248" s="3" t="inlineStr">
        <is>
          <t>Mes</t>
        </is>
      </c>
      <c r="B248" s="3" t="inlineStr">
        <is>
          <t>Familia</t>
        </is>
      </c>
      <c r="C248" s="3" t="inlineStr">
        <is>
          <t>Tiendas Incorporadas</t>
        </is>
      </c>
      <c r="D248" s="3" t="inlineStr">
        <is>
          <t>Universo</t>
        </is>
      </c>
      <c r="E248" s="3" t="inlineStr">
        <is>
          <t>% Cobertura</t>
        </is>
      </c>
      <c r="F248" s="3" t="inlineStr">
        <is>
          <t>Nuevas del Mes</t>
        </is>
      </c>
      <c r="G248" s="3" t="inlineStr">
        <is>
          <t>Pendientes</t>
        </is>
      </c>
    </row>
    <row r="249">
      <c r="A249" s="4" t="inlineStr">
        <is>
          <t>2026-04</t>
        </is>
      </c>
      <c r="B249" s="4" t="inlineStr">
        <is>
          <t>Pago Lote</t>
        </is>
      </c>
      <c r="C249" s="4" t="n">
        <v>2</v>
      </c>
      <c r="D249" s="4" t="n">
        <v>6</v>
      </c>
      <c r="E249" s="6">
        <f>IF(D249=0,"",C249/D249)</f>
        <v/>
      </c>
      <c r="F249" s="4" t="inlineStr">
        <is>
          <t>AGENCIA 01, AGENCIA 02</t>
        </is>
      </c>
      <c r="G249" s="4" t="inlineStr">
        <is>
          <t>AGENCIA 03, AGENCIA 04, AGENCIA 05, AGENCIA 06</t>
        </is>
      </c>
    </row>
    <row r="250">
      <c r="A250" s="7" t="inlineStr">
        <is>
          <t>2026-05</t>
        </is>
      </c>
      <c r="B250" s="7" t="inlineStr">
        <is>
          <t>Pago Lote</t>
        </is>
      </c>
      <c r="C250" s="7" t="n">
        <v>2</v>
      </c>
      <c r="D250" s="7" t="n">
        <v>6</v>
      </c>
      <c r="E250" s="9">
        <f>IF(D250=0,"",C250/D250)</f>
        <v/>
      </c>
      <c r="F250" s="7" t="inlineStr"/>
      <c r="G250" s="7" t="inlineStr">
        <is>
          <t>AGENCIA 03, AGENCIA 04, AGENCIA 05, AGENCIA 06</t>
        </is>
      </c>
    </row>
    <row r="251">
      <c r="A251" s="4" t="inlineStr">
        <is>
          <t>2026-06</t>
        </is>
      </c>
      <c r="B251" s="4" t="inlineStr">
        <is>
          <t>Pago Lote</t>
        </is>
      </c>
      <c r="C251" s="4" t="n">
        <v>4</v>
      </c>
      <c r="D251" s="4" t="n">
        <v>6</v>
      </c>
      <c r="E251" s="6">
        <f>IF(D251=0,"",C251/D251)</f>
        <v/>
      </c>
      <c r="F251" s="4" t="inlineStr">
        <is>
          <t>AGENCIA 03, AGENCIA 04</t>
        </is>
      </c>
      <c r="G251" s="4" t="inlineStr">
        <is>
          <t>AGENCIA 05, AGENCIA 06</t>
        </is>
      </c>
    </row>
    <row r="252">
      <c r="A252" s="7" t="inlineStr">
        <is>
          <t>2026-07</t>
        </is>
      </c>
      <c r="B252" s="7" t="inlineStr">
        <is>
          <t>Pago Lote</t>
        </is>
      </c>
      <c r="C252" s="7" t="n">
        <v>6</v>
      </c>
      <c r="D252" s="7" t="n">
        <v>6</v>
      </c>
      <c r="E252" s="9">
        <f>IF(D252=0,"",C252/D252)</f>
        <v/>
      </c>
      <c r="F252" s="7" t="inlineStr">
        <is>
          <t>AGENCIA 05, AGENCIA 06</t>
        </is>
      </c>
      <c r="G252" s="7" t="inlineStr">
        <is>
          <t>-</t>
        </is>
      </c>
    </row>
    <row r="253">
      <c r="A253" s="10" t="inlineStr">
        <is>
          <t>2026-08</t>
        </is>
      </c>
      <c r="B253" s="10" t="inlineStr">
        <is>
          <t>Pago Lote</t>
        </is>
      </c>
      <c r="C253" s="10" t="n">
        <v>6</v>
      </c>
      <c r="D253" s="10" t="n">
        <v>6</v>
      </c>
      <c r="E253" s="12">
        <f>IF(D253=0,"",C253/D253)</f>
        <v/>
      </c>
      <c r="F253" s="10" t="inlineStr"/>
      <c r="G253" s="10" t="inlineStr">
        <is>
          <t>-</t>
        </is>
      </c>
    </row>
    <row r="254">
      <c r="A254" s="7" t="inlineStr">
        <is>
          <t>2026-04</t>
        </is>
      </c>
      <c r="B254" s="7" t="inlineStr">
        <is>
          <t>Deposito CTS</t>
        </is>
      </c>
      <c r="C254" s="7" t="n">
        <v>12</v>
      </c>
      <c r="D254" s="7" t="n">
        <v>38</v>
      </c>
      <c r="E254" s="9">
        <f>IF(D254=0,"",C254/D254)</f>
        <v/>
      </c>
      <c r="F254" s="7" t="inlineStr">
        <is>
          <t>AGENCIA 02, AGENCIA 03, AGENCIA 04, AGENCIA 08, AGENCIA 09, AGENCIA 12, AGENCIA 13, AGENCIA 14, AGENCIA 15, AGENCIA 16, AGENCIA 19, AGENCIA 24</t>
        </is>
      </c>
      <c r="G254" s="7" t="inlineStr">
        <is>
          <t>AGENCIA 01, AGENCIA 05, AGENCIA 06, AGENCIA 07, AGENCIA 10, AGENCIA 11, AGENCIA 17, AGENCIA 18, AGENCIA 20, AGENCIA 21, AGENCIA 22, AGENCIA 23, AGENCIA 25, AGENCIA 26, AGENCIA 27, AGENCIA 28, AGENCIA 29, AGENCIA 30, AGENCIA 31, AGENCIA 32, AGENCIA 33, AGENCIA 34, AGENCIA 35, AGENCIA 36, AGENCIA 37, AGENCIA 38</t>
        </is>
      </c>
    </row>
    <row r="255">
      <c r="A255" s="4" t="inlineStr">
        <is>
          <t>2026-05</t>
        </is>
      </c>
      <c r="B255" s="4" t="inlineStr">
        <is>
          <t>Deposito CTS</t>
        </is>
      </c>
      <c r="C255" s="4" t="n">
        <v>25</v>
      </c>
      <c r="D255" s="4" t="n">
        <v>38</v>
      </c>
      <c r="E255" s="6">
        <f>IF(D255=0,"",C255/D255)</f>
        <v/>
      </c>
      <c r="F255" s="4" t="inlineStr">
        <is>
          <t>AGENCIA 01, AGENCIA 05, AGENCIA 06, AGENCIA 07, AGENCIA 10, AGENCIA 11, AGENCIA 17, AGENCIA 18, AGENCIA 20, AGENCIA 21, AGENCIA 22, AGENCIA 23, AGENCIA 25</t>
        </is>
      </c>
      <c r="G255" s="4" t="inlineStr">
        <is>
          <t>AGENCIA 26, AGENCIA 27, AGENCIA 28, AGENCIA 29, AGENCIA 30, AGENCIA 31, AGENCIA 32, AGENCIA 33, AGENCIA 34, AGENCIA 35, AGENCIA 36, AGENCIA 37, AGENCIA 38</t>
        </is>
      </c>
    </row>
    <row r="256">
      <c r="A256" s="7" t="inlineStr">
        <is>
          <t>2026-06</t>
        </is>
      </c>
      <c r="B256" s="7" t="inlineStr">
        <is>
          <t>Deposito CTS</t>
        </is>
      </c>
      <c r="C256" s="7" t="n">
        <v>25</v>
      </c>
      <c r="D256" s="7" t="n">
        <v>38</v>
      </c>
      <c r="E256" s="9">
        <f>IF(D256=0,"",C256/D256)</f>
        <v/>
      </c>
      <c r="F256" s="7" t="inlineStr"/>
      <c r="G256" s="7" t="inlineStr">
        <is>
          <t>AGENCIA 26, AGENCIA 27, AGENCIA 28, AGENCIA 29, AGENCIA 30, AGENCIA 31, AGENCIA 32, AGENCIA 33, AGENCIA 34, AGENCIA 35, AGENCIA 36, AGENCIA 37, AGENCIA 38</t>
        </is>
      </c>
    </row>
    <row r="257">
      <c r="A257" s="4" t="inlineStr">
        <is>
          <t>2026-07</t>
        </is>
      </c>
      <c r="B257" s="4" t="inlineStr">
        <is>
          <t>Deposito CTS</t>
        </is>
      </c>
      <c r="C257" s="4" t="n">
        <v>25</v>
      </c>
      <c r="D257" s="4" t="n">
        <v>38</v>
      </c>
      <c r="E257" s="6">
        <f>IF(D257=0,"",C257/D257)</f>
        <v/>
      </c>
      <c r="F257" s="4" t="inlineStr"/>
      <c r="G257" s="4" t="inlineStr">
        <is>
          <t>AGENCIA 26, AGENCIA 27, AGENCIA 28, AGENCIA 29, AGENCIA 30, AGENCIA 31, AGENCIA 32, AGENCIA 33, AGENCIA 34, AGENCIA 35, AGENCIA 36, AGENCIA 37, AGENCIA 38</t>
        </is>
      </c>
    </row>
    <row r="258">
      <c r="A258" s="10" t="inlineStr">
        <is>
          <t>2026-08</t>
        </is>
      </c>
      <c r="B258" s="10" t="inlineStr">
        <is>
          <t>Deposito CTS</t>
        </is>
      </c>
      <c r="C258" s="10" t="n">
        <v>25</v>
      </c>
      <c r="D258" s="10" t="n">
        <v>38</v>
      </c>
      <c r="E258" s="12">
        <f>IF(D258=0,"",C258/D258)</f>
        <v/>
      </c>
      <c r="F258" s="10" t="inlineStr"/>
      <c r="G258" s="10" t="inlineStr">
        <is>
          <t>AGENCIA 26, AGENCIA 27, AGENCIA 28, AGENCIA 29, AGENCIA 30, AGENCIA 31, AGENCIA 32, AGENCIA 33, AGENCIA 34, AGENCIA 35, AGENCIA 36, AGENCIA 37, AGENCIA 38</t>
        </is>
      </c>
    </row>
    <row r="259">
      <c r="A259" s="10" t="inlineStr">
        <is>
          <t>2026-08</t>
        </is>
      </c>
      <c r="B259" s="10" t="inlineStr">
        <is>
          <t>Apertura CTS</t>
        </is>
      </c>
      <c r="C259" s="10" t="n">
        <v>5</v>
      </c>
      <c r="D259" s="10" t="n">
        <v>26</v>
      </c>
      <c r="E259" s="12">
        <f>IF(D259=0,"",C259/D259)</f>
        <v/>
      </c>
      <c r="F259" s="10" t="inlineStr">
        <is>
          <t>AGENCIA 01, AGENCIA 02, AGENCIA 03, AGENCIA 04, AGENCIA 05</t>
        </is>
      </c>
      <c r="G259" s="10" t="inlineStr">
        <is>
          <t>AGENCIA 06, AGENCIA 09, AGENCIA 12, AGENCIA 14, AGENCIA 19, AGENCIA 20, AGENCIA 21, AGENCIA 22, AGENCIA 24, AGENCIA 25, AGENCIA 27, AGENCIA 28, AGENCIA 29, AGENCIA 30, AGENCIA 31, AGENCIA 32, AGENCIA 33, AGENCIA 35, AGENCIA 36, AGENCIA 37, AGENCIA 38</t>
        </is>
      </c>
    </row>
    <row r="260">
      <c r="A260" s="10" t="inlineStr">
        <is>
          <t>2026-08</t>
        </is>
      </c>
      <c r="B260" s="10" t="inlineStr">
        <is>
          <t>Apertura Ahorros/Sueldo</t>
        </is>
      </c>
      <c r="C260" s="10" t="n">
        <v>5</v>
      </c>
      <c r="D260" s="10" t="n">
        <v>32</v>
      </c>
      <c r="E260" s="12">
        <f>IF(D260=0,"",C260/D260)</f>
        <v/>
      </c>
      <c r="F260" s="10" t="inlineStr">
        <is>
          <t>AGENCIA 01, AGENCIA 02, AGENCIA 03, AGENCIA 04, AGENCIA 06</t>
        </is>
      </c>
      <c r="G260" s="10" t="inlineStr">
        <is>
          <t>AGENCIA 08, AGENCIA 09, AGENCIA 11, AGENCIA 12, AGENCIA 13, AGENCIA 14, AGENCIA 15, AGENCIA 16, AGENCIA 17, AGENCIA 18, AGENCIA 19, AGENCIA 20, AGENCIA 21, AGENCIA 22, AGENCIA 23, AGENCIA 25, AGENCIA 27, AGENCIA 28, AGENCIA 29, AGENCIA 30, AGENCIA 31, AGENCIA 33, AGENCIA 34, AGENCIA 35, AGENCIA 36, AGENCIA 37, AGENCIA 38</t>
        </is>
      </c>
    </row>
    <row r="262" ht="22" customHeight="1">
      <c r="A262" s="1" t="inlineStr">
        <is>
          <t>K6c · FUGA RESIDUAL ACTIVA (agencias ya incorporadas)</t>
        </is>
      </c>
    </row>
    <row r="263">
      <c r="A263" s="2" t="inlineStr">
        <is>
          <t>Operaciones que la agencia sigue haciendo POR SU CUENTA pese a estar ya incorporada al proceso. Cuando la cobertura (K6b) llega al 100%, este es el unico de los tres que queda vivo como KPI: es donde esta la accion.</t>
        </is>
      </c>
    </row>
    <row r="265">
      <c r="A265" s="2" t="inlineStr">
        <is>
          <t>'Tendencia' compara el ultimo mes contra el anterior: SUBE = la agencia esta retomando trabajo por su cuenta (revisar por que); 'nueva' = la familia recien entro en produccion.</t>
        </is>
      </c>
    </row>
    <row r="267">
      <c r="A267" s="3" t="inlineStr">
        <is>
          <t>Familia</t>
        </is>
      </c>
      <c r="B267" s="3" t="inlineStr">
        <is>
          <t>Tienda</t>
        </is>
      </c>
      <c r="C267" s="3" t="inlineStr">
        <is>
          <t>Incorporada</t>
        </is>
      </c>
      <c r="D267" s="3" t="inlineStr">
        <is>
          <t>Ops en Tienda (post-alta)</t>
        </is>
      </c>
      <c r="E267" s="3" t="inlineStr">
        <is>
          <t>Monto (S/)</t>
        </is>
      </c>
      <c r="F267" s="3" t="inlineStr">
        <is>
          <t>Ultimo Mes</t>
        </is>
      </c>
      <c r="G267" s="3" t="inlineStr">
        <is>
          <t>Mes Anterior</t>
        </is>
      </c>
      <c r="H267" s="3" t="inlineStr">
        <is>
          <t>Tendencia</t>
        </is>
      </c>
    </row>
    <row r="268">
      <c r="A268" s="7" t="inlineStr">
        <is>
          <t>Pago Lote</t>
        </is>
      </c>
      <c r="B268" s="7" t="inlineStr">
        <is>
          <t>AGENCIA 03</t>
        </is>
      </c>
      <c r="C268" s="7" t="inlineStr">
        <is>
          <t>2026-06-02</t>
        </is>
      </c>
      <c r="D268" s="7" t="n">
        <v>7</v>
      </c>
      <c r="E268" s="8" t="n">
        <v>30748.67</v>
      </c>
      <c r="F268" s="7" t="n">
        <v>3</v>
      </c>
      <c r="G268" s="7" t="n">
        <v>1</v>
      </c>
      <c r="H268" s="7" t="inlineStr">
        <is>
          <t>SUBE</t>
        </is>
      </c>
    </row>
    <row r="269">
      <c r="A269" s="4" t="inlineStr">
        <is>
          <t>Deposito CTS</t>
        </is>
      </c>
      <c r="B269" s="4" t="inlineStr">
        <is>
          <t>AGENCIA 11</t>
        </is>
      </c>
      <c r="C269" s="4" t="inlineStr">
        <is>
          <t>2026-05-05</t>
        </is>
      </c>
      <c r="D269" s="4" t="n">
        <v>5</v>
      </c>
      <c r="E269" s="5" t="n">
        <v>54119.81</v>
      </c>
      <c r="F269" s="4" t="n">
        <v>3</v>
      </c>
      <c r="G269" s="4" t="n">
        <v>0</v>
      </c>
      <c r="H269" s="4" t="inlineStr">
        <is>
          <t>SUBE</t>
        </is>
      </c>
    </row>
    <row r="270">
      <c r="A270" s="7" t="inlineStr">
        <is>
          <t>Deposito CTS</t>
        </is>
      </c>
      <c r="B270" s="7" t="inlineStr">
        <is>
          <t>AGENCIA 24</t>
        </is>
      </c>
      <c r="C270" s="7" t="inlineStr">
        <is>
          <t>2026-04-13</t>
        </is>
      </c>
      <c r="D270" s="7" t="n">
        <v>5</v>
      </c>
      <c r="E270" s="8" t="n">
        <v>30058.77</v>
      </c>
      <c r="F270" s="7" t="n">
        <v>2</v>
      </c>
      <c r="G270" s="7" t="n">
        <v>0</v>
      </c>
      <c r="H270" s="7" t="inlineStr">
        <is>
          <t>SUBE</t>
        </is>
      </c>
    </row>
    <row r="271">
      <c r="A271" s="4" t="inlineStr">
        <is>
          <t>Pago Lote</t>
        </is>
      </c>
      <c r="B271" s="4" t="inlineStr">
        <is>
          <t>AGENCIA 01</t>
        </is>
      </c>
      <c r="C271" s="4" t="inlineStr">
        <is>
          <t>2026-04-06</t>
        </is>
      </c>
      <c r="D271" s="4" t="n">
        <v>9</v>
      </c>
      <c r="E271" s="5" t="n">
        <v>24336.38</v>
      </c>
      <c r="F271" s="4" t="n">
        <v>1</v>
      </c>
      <c r="G271" s="4" t="n">
        <v>3</v>
      </c>
      <c r="H271" s="4" t="inlineStr">
        <is>
          <t>baja</t>
        </is>
      </c>
    </row>
    <row r="272">
      <c r="A272" s="7" t="inlineStr">
        <is>
          <t>Deposito CTS</t>
        </is>
      </c>
      <c r="B272" s="7" t="inlineStr">
        <is>
          <t>AGENCIA 06</t>
        </is>
      </c>
      <c r="C272" s="7" t="inlineStr">
        <is>
          <t>2026-05-06</t>
        </is>
      </c>
      <c r="D272" s="7" t="n">
        <v>5</v>
      </c>
      <c r="E272" s="8" t="n">
        <v>54793.05</v>
      </c>
      <c r="F272" s="7" t="n">
        <v>1</v>
      </c>
      <c r="G272" s="7" t="n">
        <v>1</v>
      </c>
      <c r="H272" s="7" t="inlineStr">
        <is>
          <t>estable</t>
        </is>
      </c>
    </row>
    <row r="273">
      <c r="A273" s="4" t="inlineStr">
        <is>
          <t>Deposito CTS</t>
        </is>
      </c>
      <c r="B273" s="4" t="inlineStr">
        <is>
          <t>AGENCIA 22</t>
        </is>
      </c>
      <c r="C273" s="4" t="inlineStr">
        <is>
          <t>2026-05-04</t>
        </is>
      </c>
      <c r="D273" s="4" t="n">
        <v>5</v>
      </c>
      <c r="E273" s="5" t="n">
        <v>47270.9</v>
      </c>
      <c r="F273" s="4" t="n">
        <v>1</v>
      </c>
      <c r="G273" s="4" t="n">
        <v>0</v>
      </c>
      <c r="H273" s="4" t="inlineStr">
        <is>
          <t>SUBE</t>
        </is>
      </c>
    </row>
    <row r="274">
      <c r="A274" s="7" t="inlineStr">
        <is>
          <t>Deposito CTS</t>
        </is>
      </c>
      <c r="B274" s="7" t="inlineStr">
        <is>
          <t>AGENCIA 25</t>
        </is>
      </c>
      <c r="C274" s="7" t="inlineStr">
        <is>
          <t>2026-05-04</t>
        </is>
      </c>
      <c r="D274" s="7" t="n">
        <v>4</v>
      </c>
      <c r="E274" s="8" t="n">
        <v>28980.49</v>
      </c>
      <c r="F274" s="7" t="n">
        <v>1</v>
      </c>
      <c r="G274" s="7" t="n">
        <v>1</v>
      </c>
      <c r="H274" s="7" t="inlineStr">
        <is>
          <t>estable</t>
        </is>
      </c>
    </row>
    <row r="275">
      <c r="A275" s="4" t="inlineStr">
        <is>
          <t>Deposito CTS</t>
        </is>
      </c>
      <c r="B275" s="4" t="inlineStr">
        <is>
          <t>AGENCIA 04</t>
        </is>
      </c>
      <c r="C275" s="4" t="inlineStr">
        <is>
          <t>2026-04-13</t>
        </is>
      </c>
      <c r="D275" s="4" t="n">
        <v>3</v>
      </c>
      <c r="E275" s="5" t="n">
        <v>15639.22</v>
      </c>
      <c r="F275" s="4" t="n">
        <v>1</v>
      </c>
      <c r="G275" s="4" t="n">
        <v>1</v>
      </c>
      <c r="H275" s="4" t="inlineStr">
        <is>
          <t>estable</t>
        </is>
      </c>
    </row>
    <row r="276">
      <c r="A276" s="7" t="inlineStr">
        <is>
          <t>Deposito CTS</t>
        </is>
      </c>
      <c r="B276" s="7" t="inlineStr">
        <is>
          <t>AGENCIA 14</t>
        </is>
      </c>
      <c r="C276" s="7" t="inlineStr">
        <is>
          <t>2026-04-27</t>
        </is>
      </c>
      <c r="D276" s="7" t="n">
        <v>3</v>
      </c>
      <c r="E276" s="8" t="n">
        <v>17682.63</v>
      </c>
      <c r="F276" s="7" t="n">
        <v>1</v>
      </c>
      <c r="G276" s="7" t="n">
        <v>2</v>
      </c>
      <c r="H276" s="7" t="inlineStr">
        <is>
          <t>baja</t>
        </is>
      </c>
    </row>
    <row r="277">
      <c r="A277" s="4" t="inlineStr">
        <is>
          <t>Deposito CTS</t>
        </is>
      </c>
      <c r="B277" s="4" t="inlineStr">
        <is>
          <t>AGENCIA 21</t>
        </is>
      </c>
      <c r="C277" s="4" t="inlineStr">
        <is>
          <t>2026-05-05</t>
        </is>
      </c>
      <c r="D277" s="4" t="n">
        <v>3</v>
      </c>
      <c r="E277" s="5" t="n">
        <v>17504.27</v>
      </c>
      <c r="F277" s="4" t="n">
        <v>1</v>
      </c>
      <c r="G277" s="4" t="n">
        <v>1</v>
      </c>
      <c r="H277" s="4" t="inlineStr">
        <is>
          <t>estable</t>
        </is>
      </c>
    </row>
    <row r="278">
      <c r="A278" s="7" t="inlineStr">
        <is>
          <t>Deposito CTS</t>
        </is>
      </c>
      <c r="B278" s="7" t="inlineStr">
        <is>
          <t>AGENCIA 03</t>
        </is>
      </c>
      <c r="C278" s="7" t="inlineStr">
        <is>
          <t>2026-04-07</t>
        </is>
      </c>
      <c r="D278" s="7" t="n">
        <v>2</v>
      </c>
      <c r="E278" s="8" t="n">
        <v>19592.93</v>
      </c>
      <c r="F278" s="7" t="n">
        <v>1</v>
      </c>
      <c r="G278" s="7" t="n">
        <v>0</v>
      </c>
      <c r="H278" s="7" t="inlineStr">
        <is>
          <t>SUBE</t>
        </is>
      </c>
    </row>
    <row r="279">
      <c r="A279" s="4" t="inlineStr">
        <is>
          <t>Deposito CTS</t>
        </is>
      </c>
      <c r="B279" s="4" t="inlineStr">
        <is>
          <t>AGENCIA 18</t>
        </is>
      </c>
      <c r="C279" s="4" t="inlineStr">
        <is>
          <t>2026-05-07</t>
        </is>
      </c>
      <c r="D279" s="4" t="n">
        <v>2</v>
      </c>
      <c r="E279" s="5" t="n">
        <v>17267.2</v>
      </c>
      <c r="F279" s="4" t="n">
        <v>1</v>
      </c>
      <c r="G279" s="4" t="n">
        <v>0</v>
      </c>
      <c r="H279" s="4" t="inlineStr">
        <is>
          <t>SUBE</t>
        </is>
      </c>
    </row>
    <row r="280">
      <c r="A280" s="7" t="inlineStr">
        <is>
          <t>Deposito CTS</t>
        </is>
      </c>
      <c r="B280" s="7" t="inlineStr">
        <is>
          <t>AGENCIA 20</t>
        </is>
      </c>
      <c r="C280" s="7" t="inlineStr">
        <is>
          <t>2026-05-04</t>
        </is>
      </c>
      <c r="D280" s="7" t="n">
        <v>2</v>
      </c>
      <c r="E280" s="8" t="n">
        <v>8968.049999999999</v>
      </c>
      <c r="F280" s="7" t="n">
        <v>1</v>
      </c>
      <c r="G280" s="7" t="n">
        <v>0</v>
      </c>
      <c r="H280" s="7" t="inlineStr">
        <is>
          <t>SUBE</t>
        </is>
      </c>
    </row>
    <row r="281">
      <c r="A281" s="4" t="inlineStr">
        <is>
          <t>Apertura CTS</t>
        </is>
      </c>
      <c r="B281" s="4" t="inlineStr">
        <is>
          <t>AGENCIA 05</t>
        </is>
      </c>
      <c r="C281" s="4" t="inlineStr">
        <is>
          <t>2026-08-12</t>
        </is>
      </c>
      <c r="D281" s="4" t="n">
        <v>1</v>
      </c>
      <c r="E281" s="5" t="n">
        <v>57.09</v>
      </c>
      <c r="F281" s="4" t="n">
        <v>1</v>
      </c>
      <c r="G281" s="4" t="n">
        <v>0</v>
      </c>
      <c r="H281" s="4" t="inlineStr">
        <is>
          <t>nueva</t>
        </is>
      </c>
    </row>
    <row r="282">
      <c r="A282" s="7" t="inlineStr">
        <is>
          <t>Apertura Ahorros/Sueldo</t>
        </is>
      </c>
      <c r="B282" s="7" t="inlineStr">
        <is>
          <t>AGENCIA 03</t>
        </is>
      </c>
      <c r="C282" s="7" t="inlineStr">
        <is>
          <t>2026-08-11</t>
        </is>
      </c>
      <c r="D282" s="7" t="n">
        <v>1</v>
      </c>
      <c r="E282" s="8" t="n">
        <v>418.21</v>
      </c>
      <c r="F282" s="7" t="n">
        <v>1</v>
      </c>
      <c r="G282" s="7" t="n">
        <v>0</v>
      </c>
      <c r="H282" s="7" t="inlineStr">
        <is>
          <t>nueva</t>
        </is>
      </c>
    </row>
    <row r="283">
      <c r="A283" s="4" t="inlineStr">
        <is>
          <t>Apertura Ahorros/Sueldo</t>
        </is>
      </c>
      <c r="B283" s="4" t="inlineStr">
        <is>
          <t>AGENCIA 06</t>
        </is>
      </c>
      <c r="C283" s="4" t="inlineStr">
        <is>
          <t>2026-08-04</t>
        </is>
      </c>
      <c r="D283" s="4" t="n">
        <v>1</v>
      </c>
      <c r="E283" s="5" t="n">
        <v>340.92</v>
      </c>
      <c r="F283" s="4" t="n">
        <v>1</v>
      </c>
      <c r="G283" s="4" t="n">
        <v>0</v>
      </c>
      <c r="H283" s="4" t="inlineStr">
        <is>
          <t>nueva</t>
        </is>
      </c>
    </row>
    <row r="285" ht="22" customHeight="1">
      <c r="A285" s="1" t="inlineStr">
        <is>
          <t>FUGA YA CERRADA (historico, sin actividad en el ultimo mes)</t>
        </is>
      </c>
    </row>
    <row r="286">
      <c r="A286" s="2" t="inlineStr">
        <is>
          <t>Agencias que dejaron de operar por su cuenta: evidencia de que la centralizacion efectivamente se consolido ahi.</t>
        </is>
      </c>
    </row>
    <row r="288">
      <c r="A288" s="3" t="inlineStr">
        <is>
          <t>Familia</t>
        </is>
      </c>
      <c r="B288" s="3" t="inlineStr">
        <is>
          <t>Tiendas con Fuga Cerrada</t>
        </is>
      </c>
      <c r="C288" s="3" t="inlineStr">
        <is>
          <t>Ops Historicas</t>
        </is>
      </c>
      <c r="D288" s="3" t="inlineStr">
        <is>
          <t>Monto Historico (S/)</t>
        </is>
      </c>
    </row>
    <row r="289">
      <c r="A289" s="4" t="inlineStr">
        <is>
          <t>Deposito CTS</t>
        </is>
      </c>
      <c r="B289" s="4" t="n">
        <v>11</v>
      </c>
      <c r="C289" s="4" t="n">
        <v>37</v>
      </c>
      <c r="D289" s="5" t="n">
        <v>273171.44</v>
      </c>
    </row>
    <row r="291" ht="22" customHeight="1">
      <c r="A291" s="1" t="inlineStr">
        <is>
          <t>ANOMALIAS — opera sin pertenecer al universo</t>
        </is>
      </c>
    </row>
    <row r="292">
      <c r="A292" s="2" t="inlineStr">
        <is>
          <t>Agencias que registran una familia sin pertenecer a su universo (ej. procesar Pago Lote sin tener convenio). Se apartan del denominador para no ensuciar los porcentajes, pero se reportan aca: casi siempre indican un error de registro.</t>
        </is>
      </c>
    </row>
    <row r="294">
      <c r="A294" s="3" t="inlineStr">
        <is>
          <t>Familia</t>
        </is>
      </c>
      <c r="B294" s="3" t="inlineStr">
        <is>
          <t>Tienda</t>
        </is>
      </c>
      <c r="C294" s="3" t="inlineStr">
        <is>
          <t>Operaciones</t>
        </is>
      </c>
      <c r="D294" s="3" t="inlineStr">
        <is>
          <t>Monto (S/)</t>
        </is>
      </c>
      <c r="E294" s="3" t="inlineStr">
        <is>
          <t>Dias</t>
        </is>
      </c>
      <c r="F294" s="3" t="inlineStr">
        <is>
          <t>Nota</t>
        </is>
      </c>
    </row>
    <row r="295">
      <c r="A295" s="4" t="inlineStr">
        <is>
          <t>Pago Lote</t>
        </is>
      </c>
      <c r="B295" s="4" t="inlineStr">
        <is>
          <t>AGENCIA 07</t>
        </is>
      </c>
      <c r="C295" s="4" t="n">
        <v>2</v>
      </c>
      <c r="D295" s="5" t="n">
        <v>1974.25</v>
      </c>
      <c r="E295" s="4" t="inlineStr">
        <is>
          <t>2026-04-03, 2026-05-21</t>
        </is>
      </c>
      <c r="F295" s="4" t="inlineStr">
        <is>
          <t>Opera sin pertenecer al universo - revisar registro</t>
        </is>
      </c>
    </row>
    <row r="298" ht="22" customHeight="1">
      <c r="A298" s="1" t="inlineStr">
        <is>
          <t>BUZON DE REQUERIMIENTOS</t>
        </is>
      </c>
    </row>
    <row r="299">
      <c r="A299" s="2" t="inlineStr">
        <is>
          <t>Categorias tal como se escriben en el CSV: variantes de tipeo pueden aparecer separadas.</t>
        </is>
      </c>
    </row>
  </sheetData>
  <mergeCells count="17">
    <mergeCell ref="A262:H262"/>
    <mergeCell ref="A62:H62"/>
    <mergeCell ref="A298:C298"/>
    <mergeCell ref="A1:M1"/>
    <mergeCell ref="A25:L25"/>
    <mergeCell ref="A285:D285"/>
    <mergeCell ref="A223:F223"/>
    <mergeCell ref="A48:G48"/>
    <mergeCell ref="A291:E291"/>
    <mergeCell ref="A207:G207"/>
    <mergeCell ref="A218:F218"/>
    <mergeCell ref="A245:F245"/>
    <mergeCell ref="A97:I97"/>
    <mergeCell ref="A182:J182"/>
    <mergeCell ref="A76:G76"/>
    <mergeCell ref="A88:E88"/>
    <mergeCell ref="A195:J19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8.43" customWidth="1" min="15" max="15"/>
    <col width="8.43" customWidth="1" min="16" max="16"/>
    <col width="8.43" customWidth="1" min="17" max="17"/>
    <col width="8.43" customWidth="1" min="18" max="18"/>
    <col width="8.43" customWidth="1" min="19" max="19"/>
    <col width="8.43" customWidth="1" min="20" max="20"/>
    <col width="8.43" customWidth="1" min="21" max="21"/>
    <col width="8.43" customWidth="1" min="22" max="22"/>
    <col width="8.43" customWidth="1" min="23" max="23"/>
    <col width="8.43" customWidth="1" min="24" max="24"/>
    <col width="8.43" customWidth="1" min="25" max="25"/>
    <col width="8.43" customWidth="1" min="26" max="26"/>
    <col width="8.43" customWidth="1" min="27" max="27"/>
    <col width="8.43" customWidth="1" min="28" max="28"/>
    <col width="8.43" customWidth="1" min="29" max="29"/>
    <col width="8.43" customWidth="1" min="30" max="30"/>
    <col width="8.43" customWidth="1" min="31" max="31"/>
    <col width="8.43" customWidth="1" min="32" max="32"/>
    <col width="8.43" customWidth="1" min="33" max="33"/>
    <col width="8.43" customWidth="1" min="34" max="34"/>
    <col width="8.43" customWidth="1" min="35" max="35"/>
    <col width="8.43" customWidth="1" min="36" max="36"/>
    <col width="8.43" customWidth="1" min="37" max="37"/>
    <col width="8.43" customWidth="1" min="38" max="38"/>
  </cols>
  <sheetData>
    <row r="1" ht="22" customHeight="1">
      <c r="A1" s="1" t="inlineStr">
        <is>
          <t>GRAFICOS — PAGOS MASIVOS Y CTS</t>
        </is>
      </c>
    </row>
    <row r="2">
      <c r="A2" s="17" t="inlineStr">
        <is>
          <t>Mes</t>
        </is>
      </c>
      <c r="B2" s="17" t="inlineStr">
        <is>
          <t>K1 Vol Pago</t>
        </is>
      </c>
      <c r="C2" s="17" t="inlineStr">
        <is>
          <t>K3 Vol CTS</t>
        </is>
      </c>
      <c r="D2" s="17" t="inlineStr">
        <is>
          <t>K2 Monto Pago</t>
        </is>
      </c>
      <c r="E2" s="17" t="inlineStr">
        <is>
          <t>K4 Monto CTS</t>
        </is>
      </c>
      <c r="F2" s="17" t="inlineStr">
        <is>
          <t>K5a %Analista</t>
        </is>
      </c>
      <c r="G2" s="17" t="inlineStr">
        <is>
          <t>K6b %Cobert Pago</t>
        </is>
      </c>
      <c r="H2" s="17" t="inlineStr">
        <is>
          <t>K6b %Cobert CTS</t>
        </is>
      </c>
      <c r="I2" s="17" t="inlineStr">
        <is>
          <t>K5 Ratio Asist.</t>
        </is>
      </c>
      <c r="J2" s="17" t="inlineStr">
        <is>
          <t>Ops/dia persona</t>
        </is>
      </c>
      <c r="K2" s="17" t="inlineStr">
        <is>
          <t>Ops/dia calendario</t>
        </is>
      </c>
      <c r="L2" s="17" t="inlineStr">
        <is>
          <t>K6a %Absorcion Pago Lote</t>
        </is>
      </c>
      <c r="M2" s="17" t="inlineStr">
        <is>
          <t>K6a %Absorcion CTS</t>
        </is>
      </c>
    </row>
    <row r="3">
      <c r="A3" t="inlineStr">
        <is>
          <t>2026-04</t>
        </is>
      </c>
      <c r="B3" t="n">
        <v>25</v>
      </c>
      <c r="C3" t="n">
        <v>13</v>
      </c>
      <c r="D3" t="n">
        <v>198579.49</v>
      </c>
      <c r="E3" t="n">
        <v>176626.55</v>
      </c>
      <c r="F3" s="18" t="n">
        <v>0.0833</v>
      </c>
      <c r="G3" s="18" t="n">
        <v>0.3333</v>
      </c>
      <c r="H3" s="18" t="n">
        <v>0.3158</v>
      </c>
      <c r="J3" t="n">
        <v>2.8</v>
      </c>
      <c r="K3" t="n">
        <v>0.6</v>
      </c>
      <c r="L3" s="18" t="n">
        <v>0.9615</v>
      </c>
      <c r="M3" s="18" t="n">
        <v>0.5417</v>
      </c>
    </row>
    <row r="4">
      <c r="A4" t="inlineStr">
        <is>
          <t>2026-05</t>
        </is>
      </c>
      <c r="B4" t="n">
        <v>24</v>
      </c>
      <c r="C4" t="n">
        <v>218</v>
      </c>
      <c r="D4" t="n">
        <v>134218.04</v>
      </c>
      <c r="E4" t="n">
        <v>3048818.08</v>
      </c>
      <c r="F4" s="18" t="n">
        <v>0.1067</v>
      </c>
      <c r="G4" s="18" t="n">
        <v>0.3333</v>
      </c>
      <c r="H4" s="18" t="n">
        <v>0.6579</v>
      </c>
      <c r="I4" t="n">
        <v>1.13</v>
      </c>
      <c r="J4" t="n">
        <v>3.6</v>
      </c>
      <c r="K4" t="n">
        <v>2.5</v>
      </c>
      <c r="L4" s="18" t="n">
        <v>0.9231</v>
      </c>
      <c r="M4" s="18" t="n">
        <v>0.9356</v>
      </c>
    </row>
    <row r="5">
      <c r="A5" t="inlineStr">
        <is>
          <t>2026-06</t>
        </is>
      </c>
      <c r="B5" t="n">
        <v>50</v>
      </c>
      <c r="C5" t="n">
        <v>62</v>
      </c>
      <c r="D5" t="n">
        <v>349052.76</v>
      </c>
      <c r="E5" t="n">
        <v>915628.4300000001</v>
      </c>
      <c r="F5" s="18" t="n">
        <v>0.3411</v>
      </c>
      <c r="G5" s="18" t="n">
        <v>0.6667</v>
      </c>
      <c r="H5" s="18" t="n">
        <v>0.6579</v>
      </c>
      <c r="I5" t="n">
        <v>1.5</v>
      </c>
      <c r="J5" t="n">
        <v>2.4</v>
      </c>
      <c r="K5" t="n">
        <v>2</v>
      </c>
      <c r="L5" s="18" t="n">
        <v>0.8929</v>
      </c>
      <c r="M5" s="18" t="n">
        <v>0.7209</v>
      </c>
    </row>
    <row r="6">
      <c r="A6" t="inlineStr">
        <is>
          <t>2026-07</t>
        </is>
      </c>
      <c r="B6" t="n">
        <v>175</v>
      </c>
      <c r="C6" t="n">
        <v>29</v>
      </c>
      <c r="D6" t="n">
        <v>1340028.1</v>
      </c>
      <c r="E6" t="n">
        <v>340126.28</v>
      </c>
      <c r="F6" s="18" t="n">
        <v>0.2928</v>
      </c>
      <c r="G6" s="18" t="n">
        <v>1</v>
      </c>
      <c r="H6" s="18" t="n">
        <v>0.6579</v>
      </c>
      <c r="I6" t="n">
        <v>1.18</v>
      </c>
      <c r="J6" t="n">
        <v>3.6</v>
      </c>
      <c r="K6" t="n">
        <v>3.5</v>
      </c>
      <c r="L6" s="18" t="n">
        <v>0.9777</v>
      </c>
      <c r="M6" s="18" t="n">
        <v>0.6304</v>
      </c>
    </row>
    <row r="7">
      <c r="A7" t="inlineStr">
        <is>
          <t>2026-08</t>
        </is>
      </c>
      <c r="B7" t="n">
        <v>77</v>
      </c>
      <c r="C7" t="n">
        <v>23</v>
      </c>
      <c r="D7" t="n">
        <v>576083.34</v>
      </c>
      <c r="E7" t="n">
        <v>301111.28</v>
      </c>
      <c r="F7" s="18" t="n">
        <v>0.1176</v>
      </c>
      <c r="G7" s="18" t="n">
        <v>1</v>
      </c>
      <c r="H7" s="18" t="n">
        <v>0.6579</v>
      </c>
      <c r="I7" t="n">
        <v>1.61</v>
      </c>
      <c r="J7" t="n">
        <v>4.7</v>
      </c>
      <c r="K7" t="n">
        <v>1.6</v>
      </c>
      <c r="L7" s="18" t="n">
        <v>0.9506</v>
      </c>
      <c r="M7" s="18" t="n">
        <v>0.6216</v>
      </c>
    </row>
    <row r="8">
      <c r="A8" s="17" t="n"/>
      <c r="B8" s="17" t="n"/>
      <c r="C8" s="17" t="n"/>
    </row>
    <row r="9">
      <c r="A9" t="inlineStr">
        <is>
          <t>Mes</t>
        </is>
      </c>
      <c r="B9" s="18" t="inlineStr">
        <is>
          <t>Tasa Imputable</t>
        </is>
      </c>
      <c r="C9" s="18" t="inlineStr">
        <is>
          <t>Tasa Total</t>
        </is>
      </c>
    </row>
    <row r="10">
      <c r="A10" t="inlineStr">
        <is>
          <t>2026-04</t>
        </is>
      </c>
      <c r="B10" s="18" t="n">
        <v>0.0625</v>
      </c>
      <c r="C10" s="18" t="n">
        <v>0.10417</v>
      </c>
    </row>
    <row r="11">
      <c r="A11" t="inlineStr">
        <is>
          <t>2026-05</t>
        </is>
      </c>
      <c r="B11" s="18" t="n">
        <v>0.00791</v>
      </c>
      <c r="C11" s="18" t="n">
        <v>0.02372</v>
      </c>
    </row>
    <row r="12">
      <c r="A12" t="inlineStr">
        <is>
          <t>2026-06</t>
        </is>
      </c>
      <c r="B12" s="18" t="n">
        <v>0.00775</v>
      </c>
      <c r="C12" s="18" t="n">
        <v>0.0155</v>
      </c>
    </row>
    <row r="13">
      <c r="A13" t="inlineStr">
        <is>
          <t>2026-07</t>
        </is>
      </c>
      <c r="B13" s="18" t="n">
        <v>0.009010000000000001</v>
      </c>
      <c r="C13" s="18" t="n">
        <v>0.009010000000000001</v>
      </c>
    </row>
    <row r="14">
      <c r="A14" t="inlineStr">
        <is>
          <t>2026-08</t>
        </is>
      </c>
      <c r="B14" s="18" t="n">
        <v>0.00735</v>
      </c>
      <c r="C14" s="18" t="n">
        <v>0.01471</v>
      </c>
    </row>
    <row r="15">
      <c r="A15" s="17" t="n"/>
      <c r="B15" s="17" t="n"/>
      <c r="C15" s="17" t="n"/>
    </row>
    <row r="16">
      <c r="A16" t="inlineStr">
        <is>
          <t>Mes</t>
        </is>
      </c>
      <c r="B16" t="inlineStr">
        <is>
          <t>Horas Pago Lote</t>
        </is>
      </c>
      <c r="C16" t="inlineStr">
        <is>
          <t>Horas CTS</t>
        </is>
      </c>
    </row>
    <row r="17">
      <c r="A17" t="inlineStr">
        <is>
          <t>2026-04</t>
        </is>
      </c>
      <c r="B17" t="n">
        <v>0.5</v>
      </c>
      <c r="C17" t="n">
        <v>0.9</v>
      </c>
    </row>
    <row r="18">
      <c r="A18" t="inlineStr">
        <is>
          <t>2026-05</t>
        </is>
      </c>
      <c r="B18" t="n">
        <v>0.5</v>
      </c>
      <c r="C18" t="n">
        <v>14.5</v>
      </c>
    </row>
    <row r="19">
      <c r="A19" t="inlineStr">
        <is>
          <t>2026-06</t>
        </is>
      </c>
      <c r="B19" t="n">
        <v>1.1</v>
      </c>
      <c r="C19" t="n">
        <v>4.1</v>
      </c>
    </row>
    <row r="20">
      <c r="A20" t="inlineStr">
        <is>
          <t>2026-07</t>
        </is>
      </c>
      <c r="B20" t="n">
        <v>3.8</v>
      </c>
      <c r="C20" t="n">
        <v>1.9</v>
      </c>
    </row>
    <row r="21">
      <c r="A21" t="inlineStr">
        <is>
          <t>2026-08</t>
        </is>
      </c>
      <c r="B21" t="n">
        <v>1.7</v>
      </c>
      <c r="C21" t="n">
        <v>1.5</v>
      </c>
    </row>
    <row r="22">
      <c r="A22" s="2" t="inlineStr">
        <is>
          <t>Graficos nativos de Excel a partir de las tablas de la izquierda. Se pueden copiar/pegar como imagen o editar el estilo directo en Excel.</t>
        </is>
      </c>
    </row>
  </sheetData>
  <mergeCells count="1">
    <mergeCell ref="A1:M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26" customWidth="1" min="1" max="1"/>
    <col width="42" customWidth="1" min="2" max="2"/>
    <col width="50" customWidth="1" min="3" max="3"/>
    <col width="34" customWidth="1" min="4" max="4"/>
  </cols>
  <sheetData>
    <row r="1" ht="22" customHeight="1">
      <c r="A1" s="1" t="inlineStr">
        <is>
          <t>METODOLOGIA Y EXPLICACION DE CADA KPI</t>
        </is>
      </c>
    </row>
    <row r="2">
      <c r="A2" s="19" t="inlineStr">
        <is>
          <t>KPI</t>
        </is>
      </c>
      <c r="B2" s="19" t="inlineStr">
        <is>
          <t>Que mide</t>
        </is>
      </c>
      <c r="C2" s="19" t="inlineStr">
        <is>
          <t>Como se calcula</t>
        </is>
      </c>
      <c r="D2" s="19" t="inlineStr">
        <is>
          <t>Fuente</t>
        </is>
      </c>
    </row>
    <row r="3">
      <c r="A3" s="20" t="inlineStr">
        <is>
          <t>K1 Volumen Pago Lote</t>
        </is>
      </c>
      <c r="B3" s="20" t="inlineStr">
        <is>
          <t>Cantidad de transacciones de pago masivo (planillas)</t>
        </is>
      </c>
      <c r="C3" s="20" t="inlineStr">
        <is>
          <t>Conteo de filas 'PAGO LOTE' por mes</t>
        </is>
      </c>
      <c r="D3" s="20" t="inlineStr">
        <is>
          <t>Detalle Of. Principal</t>
        </is>
      </c>
    </row>
    <row r="4">
      <c r="A4" s="21" t="inlineStr">
        <is>
          <t>K2 Monto Pago Lote</t>
        </is>
      </c>
      <c r="B4" s="21" t="inlineStr">
        <is>
          <t>Soles movilizados en pago lote</t>
        </is>
      </c>
      <c r="C4" s="21" t="inlineStr">
        <is>
          <t>Suma de 'Monto' de las filas Pago Lote</t>
        </is>
      </c>
      <c r="D4" s="21" t="inlineStr">
        <is>
          <t>Detalle Of. Principal</t>
        </is>
      </c>
    </row>
    <row r="5">
      <c r="A5" s="20" t="inlineStr">
        <is>
          <t>K3 Volumen CTS</t>
        </is>
      </c>
      <c r="B5" s="20" t="inlineStr">
        <is>
          <t>Cantidad de depositos lote de CTS</t>
        </is>
      </c>
      <c r="C5" s="20" t="inlineStr">
        <is>
          <t>Conteo de filas 'DEPOSITO LOTE CTS' por mes</t>
        </is>
      </c>
      <c r="D5" s="20" t="inlineStr">
        <is>
          <t>Detalle Of. Principal</t>
        </is>
      </c>
    </row>
    <row r="6">
      <c r="A6" s="21" t="inlineStr">
        <is>
          <t>K4 Monto CTS</t>
        </is>
      </c>
      <c r="B6" s="21" t="inlineStr">
        <is>
          <t>Soles depositados por CTS</t>
        </is>
      </c>
      <c r="C6" s="21" t="inlineStr">
        <is>
          <t>Suma de 'Monto' de las filas CTS</t>
        </is>
      </c>
      <c r="D6" s="21" t="inlineStr">
        <is>
          <t>Detalle Of. Principal</t>
        </is>
      </c>
    </row>
    <row r="7">
      <c r="A7" s="20" t="inlineStr">
        <is>
          <t>K5 Ratio carga Asistentes</t>
        </is>
      </c>
      <c r="B7" s="20" t="inlineStr">
        <is>
          <t>Desbalance de carga entre asistentes</t>
        </is>
      </c>
      <c r="C7" s="20" t="inlineStr">
        <is>
          <t>MAX(ops asistente) / MIN(ops asistente). Meta &lt;= 2.0x</t>
        </is>
      </c>
      <c r="D7" s="20" t="inlineStr">
        <is>
          <t>Detalle Of. Principal - Usuario</t>
        </is>
      </c>
    </row>
    <row r="8">
      <c r="A8" s="21" t="inlineStr">
        <is>
          <t>K5a % Analista operando</t>
        </is>
      </c>
      <c r="B8" s="21" t="inlineStr">
        <is>
          <t>Cuanto del volumen lo hace el analista (deberia delegar)</t>
        </is>
      </c>
      <c r="C8" s="21" t="inlineStr">
        <is>
          <t>Ops del analista / Total ops. Meta &lt;= 10%</t>
        </is>
      </c>
      <c r="D8" s="21" t="inlineStr">
        <is>
          <t>Detalle Of. Principal - Usuario</t>
        </is>
      </c>
    </row>
    <row r="9">
      <c r="A9" s="20" t="inlineStr">
        <is>
          <t>K6a Eficacia de Centralizacion</t>
        </is>
      </c>
      <c r="B9" s="20" t="inlineStr">
        <is>
          <t>De lo que ya esta dentro del alcance, cuanto lo ejecuta el equipo</t>
        </is>
      </c>
      <c r="C9" s="20" t="inlineStr">
        <is>
          <t>Ops de Oficina Principal / (Ops Of. Principal + Ops de agencias YA incorporadas), por familia y desde que el proceso entro en produccion.</t>
        </is>
      </c>
      <c r="D9" s="20" t="inlineStr">
        <is>
          <t>Detalle Of. Principal + Detalle Tiendas</t>
        </is>
      </c>
    </row>
    <row r="10">
      <c r="A10" s="21" t="inlineStr">
        <is>
          <t>K6b Cobertura de Despliegue</t>
        </is>
      </c>
      <c r="B10" s="21" t="inlineStr">
        <is>
          <t>Cuantas agencias del universo ya se incorporaron al proceso</t>
        </is>
      </c>
      <c r="C10" s="21" t="inlineStr">
        <is>
          <t>Agencias incorporadas (acumulado) / universo de la familia. Para Pago Lote el universo son las agencias CON CONVENIO, no toda la red.</t>
        </is>
      </c>
      <c r="D10" s="21" t="inlineStr">
        <is>
          <t>Detalle Of. Principal + Detalle Tiendas</t>
        </is>
      </c>
    </row>
    <row r="11">
      <c r="A11" s="20" t="inlineStr">
        <is>
          <t>K6c Fuga Residual</t>
        </is>
      </c>
      <c r="B11" s="20" t="inlineStr">
        <is>
          <t>Operaciones que la agencia sigue haciendo por su cuenta pese a estar incorporada</t>
        </is>
      </c>
      <c r="C11" s="20" t="inlineStr">
        <is>
          <t>Ops en Tiendas con fecha posterior al alta de esa agencia. Se listan solo las que siguen activas en el ultimo mes; las que ya se cerraron van resumidas aparte.</t>
        </is>
      </c>
      <c r="D11" s="20" t="inlineStr">
        <is>
          <t>Detalle Tiendas + fecha de alta por agencia</t>
        </is>
      </c>
    </row>
    <row r="12">
      <c r="A12" s="21" t="inlineStr">
        <is>
          <t>Anomalias de universo</t>
        </is>
      </c>
      <c r="B12" s="21" t="inlineStr">
        <is>
          <t>Agencias que operan una familia sin pertenecer a su universo</t>
        </is>
      </c>
      <c r="C12" s="21" t="inlineStr">
        <is>
          <t>Ops en Tiendas de agencias listadas en FUERA_UNIVERSO_POR_FAMILIA (ej. Pago Lote sin convenio). Se apartan del denominador y se reportan aparte: suelen ser error de registro.</t>
        </is>
      </c>
      <c r="D12" s="21" t="inlineStr">
        <is>
          <t>Detalle Tiendas</t>
        </is>
      </c>
    </row>
    <row r="13">
      <c r="A13" s="20" t="inlineStr">
        <is>
          <t>K7 Eficiencia (hoja)</t>
        </is>
      </c>
      <c r="B13" s="20" t="inlineStr">
        <is>
          <t>Productividad por operador</t>
        </is>
      </c>
      <c r="C13" s="20" t="inlineStr">
        <is>
          <t>Total ops / persona-dias (incluye personal de apoyo) y / (operadores x dias habiles reales del mes)</t>
        </is>
      </c>
      <c r="D13" s="20" t="inlineStr">
        <is>
          <t>Detalle Of. Principal</t>
        </is>
      </c>
    </row>
    <row r="14">
      <c r="A14" s="21" t="inlineStr">
        <is>
          <t>Dia Pico / Dias Pico en el Mes</t>
        </is>
      </c>
      <c r="B14" s="21" t="inlineStr">
        <is>
          <t>Carga laboral: que dia(s) concentran mas operaciones</t>
        </is>
      </c>
      <c r="C14" s="21" t="inlineStr">
        <is>
          <t>Dia con mas ops del mes; dias que superan promedio + 1 desv. estandar del mes.</t>
        </is>
      </c>
      <c r="D14" s="21" t="inlineStr">
        <is>
          <t>Detalle Of. Principal - Fecha</t>
        </is>
      </c>
    </row>
    <row r="15">
      <c r="A15" s="20" t="inlineStr">
        <is>
          <t>K8 Tasa Extornos (hoja)</t>
        </is>
      </c>
      <c r="B15" s="20" t="inlineStr">
        <is>
          <t>Calidad: errores que se revierten</t>
        </is>
      </c>
      <c r="C15" s="20" t="inlineStr">
        <is>
          <t>Extornos / TOTAL de operaciones del mes (Pago Lote + CTS + aperturas + pendientes).</t>
        </is>
      </c>
      <c r="D15" s="20" t="inlineStr">
        <is>
          <t>Extornos</t>
        </is>
      </c>
    </row>
    <row r="16">
      <c r="A16" s="21" t="inlineStr">
        <is>
          <t>K9 Aperturas y Abonos (hoja)</t>
        </is>
      </c>
      <c r="B16" s="21" t="inlineStr">
        <is>
          <t>Volumen de aperturas de CTS/Sueldo y de abonos de sueldo del equipo</t>
        </is>
      </c>
      <c r="C16" s="21" t="inlineStr">
        <is>
          <t>Aperturas: conteo por familia del Detalle. Abonos: conteo del reporte de Abono filtrado al equipo.</t>
        </is>
      </c>
      <c r="D16" s="21" t="inlineStr">
        <is>
          <t>Detalle Of. Principal + Abono de Sueldos y CTS</t>
        </is>
      </c>
    </row>
    <row r="17">
      <c r="A17" s="20" t="inlineStr">
        <is>
          <t>Empleadores CTS</t>
        </is>
      </c>
      <c r="B17" s="20" t="inlineStr">
        <is>
          <t>Cantidad de empresas atendidas en CTS</t>
        </is>
      </c>
      <c r="C17" s="20" t="inlineStr">
        <is>
          <t>Conteo de empleadores unicos del mes</t>
        </is>
      </c>
      <c r="D17" s="20" t="inlineStr">
        <is>
          <t>Detalle CTS Individual - Empleador</t>
        </is>
      </c>
    </row>
    <row r="18">
      <c r="A18" s="21" t="inlineStr">
        <is>
          <t>Tiempo Proc. (auxiliar)</t>
        </is>
      </c>
      <c r="B18" s="21" t="inlineStr">
        <is>
          <t>Carga horaria estimada del area (no es un KPI numerado)</t>
        </is>
      </c>
      <c r="C18" s="21" t="inlineStr">
        <is>
          <t>K1x1.3min + K3x4.0min (ESTIMADO)</t>
        </is>
      </c>
      <c r="D18" s="21" t="inlineStr">
        <is>
          <t>Detalle Of. Principal</t>
        </is>
      </c>
    </row>
    <row r="19">
      <c r="A19" s="20" t="inlineStr">
        <is>
          <t>Buzon</t>
        </is>
      </c>
      <c r="B19" s="20" t="inlineStr">
        <is>
          <t>Demanda de requerimientos y su reparto</t>
        </is>
      </c>
      <c r="C19" s="20" t="inlineStr">
        <is>
          <t>Conteo por tipo de solicitud y por persona asignada</t>
        </is>
      </c>
      <c r="D19" s="20" t="inlineStr">
        <is>
          <t>REQUERIMIENTOS ...csv</t>
        </is>
      </c>
    </row>
    <row r="21">
      <c r="A21" s="2" t="inlineStr">
        <is>
          <t>SUPUESTOS: operadores y roles definidos en ROLES; tiempos de procesamiento son estimados; el universo de Pago Lote son las agencias con convenio (se auto-detecta de la data).</t>
        </is>
      </c>
    </row>
    <row r="23">
      <c r="A23" s="2" t="inlineStr">
        <is>
          <t>LIMITACIONES CONOCIDAS: no hay motivo de extorno estandarizado; el buzon no siempre registra fecha de atencion; el tiempo de procesamiento no esta cronometrado.</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2026-08-29T17:01:16Z</dcterms:created>
  <dcterms:modified xmlns:dcterms="http://purl.org/dc/terms/" xmlns:xsi="http://www.w3.org/2001/XMLSchema-instance" xsi:type="dcterms:W3CDTF">2026-08-29T17:01:16Z</dcterms:modified>
</cp:coreProperties>
</file>