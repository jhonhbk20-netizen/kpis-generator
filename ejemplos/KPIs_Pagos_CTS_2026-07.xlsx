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KPIs" sheetId="1" state="visible" r:id="rId1"/>
    <sheet xmlns:r="http://schemas.openxmlformats.org/officeDocument/2006/relationships" name="Detalle por Operador" sheetId="2" state="visible" r:id="rId2"/>
    <sheet xmlns:r="http://schemas.openxmlformats.org/officeDocument/2006/relationships" name="K7 Eficiencia" sheetId="3" state="visible" r:id="rId3"/>
    <sheet xmlns:r="http://schemas.openxmlformats.org/officeDocument/2006/relationships" name="K8 Extornos" sheetId="4" state="visible" r:id="rId4"/>
    <sheet xmlns:r="http://schemas.openxmlformats.org/officeDocument/2006/relationships" name="K9 Tiempo Proc" sheetId="5" state="visible" r:id="rId5"/>
    <sheet xmlns:r="http://schemas.openxmlformats.org/officeDocument/2006/relationships" name="Abono Oficina Principal" sheetId="6" state="visible" r:id="rId6"/>
    <sheet xmlns:r="http://schemas.openxmlformats.org/officeDocument/2006/relationships" name="K6 Centralizacion CTS" sheetId="7" state="visible" r:id="rId7"/>
    <sheet xmlns:r="http://schemas.openxmlformats.org/officeDocument/2006/relationships" name="Buzon Requerimientos" sheetId="8" state="visible" r:id="rId8"/>
    <sheet xmlns:r="http://schemas.openxmlformats.org/officeDocument/2006/relationships" name="Graficos" sheetId="9" state="visible" r:id="rId9"/>
    <sheet xmlns:r="http://schemas.openxmlformats.org/officeDocument/2006/relationships" name="Explicac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164" fontId="0" fillId="3" borderId="1" pivotButton="0" quotePrefix="0" xfId="0"/>
    <xf numFmtId="0" fontId="0" fillId="4" borderId="1" pivotButton="0" quotePrefix="0" xfId="0"/>
    <xf numFmtId="4" fontId="0" fillId="4" borderId="1" pivotButton="0" quotePrefix="0" xfId="0"/>
    <xf numFmtId="164" fontId="0" fillId="4" borderId="1" pivotButton="0" quotePrefix="0" xfId="0"/>
    <xf numFmtId="0" fontId="4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Volumen de Transacciones por Proceso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'Graficos'!B2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>
              <a:solidFill>
                <a:srgbClr val="1F4E78"/>
              </a:solidFill>
              <a:prstDash val="solid"/>
            </a:ln>
          </spPr>
          <cat>
            <numRef>
              <f>'Graficos'!$A$3:$A$6</f>
            </numRef>
          </cat>
          <val>
            <numRef>
              <f>'Graficos'!$B$3:$B$6</f>
            </numRef>
          </val>
        </ser>
        <ser>
          <idx val="1"/>
          <order val="1"/>
          <tx>
            <strRef>
              <f>'Graficos'!C2</f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solidFill>
                <a:srgbClr val="2E8B57"/>
              </a:solidFill>
              <a:prstDash val="solid"/>
            </a:ln>
          </spPr>
          <cat>
            <numRef>
              <f>'Graficos'!$A$3:$A$6</f>
            </numRef>
          </cat>
          <val>
            <numRef>
              <f>'Graficos'!$C$3:$C$6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/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/>
                  <a:t>N° de transacciones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Monto Operado por Proceso (S/)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'Graficos'!D2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>
              <a:solidFill>
                <a:srgbClr val="1F4E78"/>
              </a:solidFill>
              <a:prstDash val="solid"/>
            </a:ln>
          </spPr>
          <cat>
            <numRef>
              <f>'Graficos'!$A$3:$A$6</f>
            </numRef>
          </cat>
          <val>
            <numRef>
              <f>'Graficos'!$D$3:$D$6</f>
            </numRef>
          </val>
        </ser>
        <ser>
          <idx val="1"/>
          <order val="1"/>
          <tx>
            <strRef>
              <f>'Graficos'!E2</f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solidFill>
                <a:srgbClr val="2E8B57"/>
              </a:solidFill>
              <a:prstDash val="solid"/>
            </a:ln>
          </spPr>
          <cat>
            <numRef>
              <f>'Graficos'!$A$3:$A$6</f>
            </numRef>
          </cat>
          <val>
            <numRef>
              <f>'Graficos'!$E$3:$E$6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/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/>
                  <a:t>Monto (S/)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K5a: % Transacciones Ejecutadas por el Analista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'Graficos'!F2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5000">
              <a:solidFill>
                <a:srgbClr val="C0000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cat>
            <numRef>
              <f>'Graficos'!$A$3:$A$6</f>
            </numRef>
          </cat>
          <val>
            <numRef>
              <f>'Graficos'!$F$3:$F$6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/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/>
                  <a:t>% del total de ops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Cobertura: % Agencias Atendidas (de 62)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'Graficos'!G2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5000">
              <a:solidFill>
                <a:srgbClr val="1F4E78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4E78"/>
              </a:solidFill>
              <a:ln xmlns:a="http://schemas.openxmlformats.org/drawingml/2006/main">
                <a:solidFill>
                  <a:srgbClr val="1F4E78"/>
                </a:solidFill>
                <a:prstDash val="solid"/>
              </a:ln>
            </spPr>
          </marker>
          <cat>
            <numRef>
              <f>'Graficos'!$A$3:$A$6</f>
            </numRef>
          </cat>
          <val>
            <numRef>
              <f>'Graficos'!$G$3:$G$6</f>
            </numRef>
          </val>
          <smooth val="0"/>
        </ser>
        <ser>
          <idx val="1"/>
          <order val="1"/>
          <tx>
            <strRef>
              <f>'Graficos'!H2</f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 w="25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E8B57"/>
              </a:solidFill>
              <a:ln xmlns:a="http://schemas.openxmlformats.org/drawingml/2006/main">
                <a:solidFill>
                  <a:srgbClr val="2E8B57"/>
                </a:solidFill>
                <a:prstDash val="solid"/>
              </a:ln>
            </spPr>
          </marker>
          <cat>
            <numRef>
              <f>'Graficos'!$A$3:$A$6</f>
            </numRef>
          </cat>
          <val>
            <numRef>
              <f>'Graficos'!$H$3:$H$6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/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/>
                  <a:t>% de agencias cubiertas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Eficiencia: Ops/Operador/Dia (persona-dia vs calendario)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'Graficos'!J2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 w="25000">
              <a:solidFill>
                <a:srgbClr val="1F4E78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F4E78"/>
              </a:solidFill>
              <a:ln xmlns:a="http://schemas.openxmlformats.org/drawingml/2006/main">
                <a:solidFill>
                  <a:srgbClr val="1F4E78"/>
                </a:solidFill>
                <a:prstDash val="solid"/>
              </a:ln>
            </spPr>
          </marker>
          <cat>
            <numRef>
              <f>'Graficos'!$A$3:$A$6</f>
            </numRef>
          </cat>
          <val>
            <numRef>
              <f>'Graficos'!$J$3:$J$6</f>
            </numRef>
          </val>
          <smooth val="0"/>
        </ser>
        <ser>
          <idx val="1"/>
          <order val="1"/>
          <tx>
            <strRef>
              <f>'Graficos'!K2</f>
            </strRef>
          </tx>
          <spPr>
            <a:solidFill xmlns:a="http://schemas.openxmlformats.org/drawingml/2006/main">
              <a:srgbClr val="808080"/>
            </a:solidFill>
            <a:ln xmlns:a="http://schemas.openxmlformats.org/drawingml/2006/main" w="25000">
              <a:solidFill>
                <a:srgbClr val="80808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808080"/>
              </a:solidFill>
              <a:ln xmlns:a="http://schemas.openxmlformats.org/drawingml/2006/main">
                <a:solidFill>
                  <a:srgbClr val="808080"/>
                </a:solidFill>
                <a:prstDash val="solid"/>
              </a:ln>
            </spPr>
          </marker>
          <cat>
            <numRef>
              <f>'Graficos'!$A$3:$A$6</f>
            </numRef>
          </cat>
          <val>
            <numRef>
              <f>'Graficos'!$K$3:$K$6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/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/>
                  <a:t>Ops por operador y dia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K5: Ratio de Carga entre Asistentes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'Graficos'!I2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'Graficos'!$A$3:$A$6</f>
            </numRef>
          </cat>
          <val>
            <numRef>
              <f>'Graficos'!$I$3:$I$6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/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/>
                  <a:t>Ratio MAX/MIN (meta &lt;= 2.0x)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K6: % Centralizacion CTS (Oficina Principal / Red)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'Graficos'!L2</f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 w="25000">
              <a:solidFill>
                <a:srgbClr val="2E8B57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2E8B57"/>
              </a:solidFill>
              <a:ln xmlns:a="http://schemas.openxmlformats.org/drawingml/2006/main">
                <a:solidFill>
                  <a:srgbClr val="2E8B57"/>
                </a:solidFill>
                <a:prstDash val="solid"/>
              </a:ln>
            </spPr>
          </marker>
          <cat>
            <numRef>
              <f>'Graficos'!$A$3:$A$6</f>
            </numRef>
          </cat>
          <val>
            <numRef>
              <f>'Graficos'!$L$3:$L$6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/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/>
                  <a:t>% del CTS de la red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K8: Tasa de Extornos (Imputable vs Total)</a:t>
            </a:r>
          </a:p>
        </rich>
      </tx>
    </title>
    <plotArea>
      <lineChart>
        <grouping val="standard"/>
        <ser>
          <idx val="0"/>
          <order val="0"/>
          <tx>
            <strRef>
              <f>'Graficos'!B7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 w="25000">
              <a:solidFill>
                <a:srgbClr val="C0000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C00000"/>
              </a:solidFill>
              <a:ln xmlns:a="http://schemas.openxmlformats.org/drawingml/2006/main">
                <a:solidFill>
                  <a:srgbClr val="C00000"/>
                </a:solidFill>
                <a:prstDash val="solid"/>
              </a:ln>
            </spPr>
          </marker>
          <cat>
            <numRef>
              <f>'Graficos'!$A$8:$A$12</f>
            </numRef>
          </cat>
          <val>
            <numRef>
              <f>'Graficos'!$B$8:$B$12</f>
            </numRef>
          </val>
          <smooth val="0"/>
        </ser>
        <ser>
          <idx val="1"/>
          <order val="1"/>
          <tx>
            <strRef>
              <f>'Graficos'!C7</f>
            </strRef>
          </tx>
          <spPr>
            <a:solidFill xmlns:a="http://schemas.openxmlformats.org/drawingml/2006/main">
              <a:srgbClr val="808080"/>
            </a:solidFill>
            <a:ln xmlns:a="http://schemas.openxmlformats.org/drawingml/2006/main" w="25000">
              <a:solidFill>
                <a:srgbClr val="808080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808080"/>
              </a:solidFill>
              <a:ln xmlns:a="http://schemas.openxmlformats.org/drawingml/2006/main">
                <a:solidFill>
                  <a:srgbClr val="808080"/>
                </a:solidFill>
                <a:prstDash val="solid"/>
              </a:ln>
            </spPr>
          </marker>
          <cat>
            <numRef>
              <f>'Graficos'!$A$8:$A$12</f>
            </numRef>
          </cat>
          <val>
            <numRef>
              <f>'Graficos'!$C$8:$C$12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/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/>
                  <a:t>% de K1 Pago Lote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K9: Horas Estimadas por Proceso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'Graficos'!B13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>
              <a:solidFill>
                <a:srgbClr val="1F4E78"/>
              </a:solidFill>
              <a:prstDash val="solid"/>
            </a:ln>
          </spPr>
          <cat>
            <numRef>
              <f>'Graficos'!$A$14:$A$18</f>
            </numRef>
          </cat>
          <val>
            <numRef>
              <f>'Graficos'!$B$14:$B$18</f>
            </numRef>
          </val>
        </ser>
        <ser>
          <idx val="1"/>
          <order val="1"/>
          <tx>
            <strRef>
              <f>'Graficos'!C13</f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solidFill>
                <a:srgbClr val="2E8B57"/>
              </a:solidFill>
              <a:prstDash val="solid"/>
            </a:ln>
          </spPr>
          <cat>
            <numRef>
              <f>'Graficos'!$A$14:$A$18</f>
            </numRef>
          </cat>
          <val>
            <numRef>
              <f>'Graficos'!$C$14:$C$18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/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rPr sz="1100" b="1"/>
                  <a:t>Horas estimadas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/Relationships>
</file>

<file path=xl/drawings/drawing1.xml><?xml version="1.0" encoding="utf-8"?>
<wsDr xmlns="http://schemas.openxmlformats.org/drawingml/2006/spreadsheetDrawing">
  <oneCellAnchor>
    <from>
      <col>13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24</col>
      <colOff>0</colOff>
      <row>2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22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24</col>
      <colOff>0</colOff>
      <row>22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13</col>
      <colOff>0</colOff>
      <row>42</row>
      <rowOff>0</rowOff>
    </from>
    <ext cx="540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24</col>
      <colOff>0</colOff>
      <row>42</row>
      <rowOff>0</rowOff>
    </from>
    <ext cx="540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13</col>
      <colOff>0</colOff>
      <row>62</row>
      <rowOff>0</rowOff>
    </from>
    <ext cx="540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24</col>
      <colOff>0</colOff>
      <row>62</row>
      <rowOff>0</rowOff>
    </from>
    <ext cx="540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13</col>
      <colOff>0</colOff>
      <row>82</row>
      <rowOff>0</rowOff>
    </from>
    <ext cx="540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2" customWidth="1" min="4" max="4"/>
    <col width="14" customWidth="1" min="5" max="5"/>
    <col width="11" customWidth="1" min="6" max="6"/>
    <col width="13" customWidth="1" min="7" max="7"/>
    <col width="17" customWidth="1" min="8" max="8"/>
    <col width="16" customWidth="1" min="9" max="9"/>
    <col width="19" customWidth="1" min="10" max="10"/>
    <col width="18" customWidth="1" min="11" max="11"/>
    <col width="16" customWidth="1" min="12" max="12"/>
    <col width="12" customWidth="1" min="13" max="13"/>
    <col width="14" customWidth="1" min="14" max="14"/>
    <col width="17" customWidth="1" min="15" max="15"/>
    <col width="19" customWidth="1" min="16" max="16"/>
    <col width="19" customWidth="1" min="17" max="17"/>
  </cols>
  <sheetData>
    <row r="1" ht="22" customHeight="1">
      <c r="A1" s="1" t="inlineStr">
        <is>
          <t>TABLERO DE KPIs — PAGOS MASIVOS Y CTS</t>
        </is>
      </c>
    </row>
    <row r="2">
      <c r="A2" s="2" t="inlineStr">
        <is>
          <t>Mes destacado: 2026-07  ·  Generado: 2026-08-09 22:47</t>
        </is>
      </c>
    </row>
    <row r="4">
      <c r="A4" s="3" t="inlineStr">
        <is>
          <t>Mes</t>
        </is>
      </c>
      <c r="B4" s="3" t="inlineStr">
        <is>
          <t>K1 Vol Pago</t>
        </is>
      </c>
      <c r="C4" s="3" t="inlineStr">
        <is>
          <t>K2 Monto Pago</t>
        </is>
      </c>
      <c r="D4" s="3" t="inlineStr">
        <is>
          <t>K3 Vol CTS</t>
        </is>
      </c>
      <c r="E4" s="3" t="inlineStr">
        <is>
          <t>K4 Monto CTS</t>
        </is>
      </c>
      <c r="F4" s="3" t="inlineStr">
        <is>
          <t>Total Ops</t>
        </is>
      </c>
      <c r="G4" s="3" t="inlineStr">
        <is>
          <t>Total Monto</t>
        </is>
      </c>
      <c r="H4" s="3" t="inlineStr">
        <is>
          <t>K5 Ratio Asist.</t>
        </is>
      </c>
      <c r="I4" s="3" t="inlineStr">
        <is>
          <t>K5a % Analista</t>
        </is>
      </c>
      <c r="J4" s="3" t="inlineStr">
        <is>
          <t>K7 % Cobert. Pago</t>
        </is>
      </c>
      <c r="K4" s="3" t="inlineStr">
        <is>
          <t>K8 % Cobert. CTS</t>
        </is>
      </c>
      <c r="L4" s="3" t="inlineStr">
        <is>
          <t>K9 Empleadores</t>
        </is>
      </c>
      <c r="M4" s="3" t="inlineStr">
        <is>
          <t>Operadores</t>
        </is>
      </c>
      <c r="N4" s="3" t="inlineStr">
        <is>
          <t>Persona-dias</t>
        </is>
      </c>
      <c r="O4" s="3" t="inlineStr">
        <is>
          <t>Dias calendario</t>
        </is>
      </c>
      <c r="P4" s="3" t="inlineStr">
        <is>
          <t>Ops/dia (persona)</t>
        </is>
      </c>
      <c r="Q4" s="3" t="inlineStr">
        <is>
          <t>Ops/dia (calend.)</t>
        </is>
      </c>
    </row>
    <row r="5">
      <c r="A5" s="4" t="inlineStr">
        <is>
          <t>2026-04</t>
        </is>
      </c>
      <c r="B5" s="4" t="n">
        <v>185</v>
      </c>
      <c r="C5" s="5" t="n">
        <v>1510341.32</v>
      </c>
      <c r="D5" s="4" t="n">
        <v>82</v>
      </c>
      <c r="E5" s="5" t="n">
        <v>1131436.58</v>
      </c>
      <c r="F5" s="4" t="n">
        <v>267</v>
      </c>
      <c r="G5" s="5" t="n">
        <v>2641777.9</v>
      </c>
      <c r="H5" s="4" t="n">
        <v>1.04</v>
      </c>
      <c r="I5" s="6" t="n">
        <v>0.0936</v>
      </c>
      <c r="J5" s="6" t="n">
        <v>0.4032</v>
      </c>
      <c r="K5" s="6" t="n">
        <v>0.3065</v>
      </c>
      <c r="L5" s="4" t="n">
        <v>8</v>
      </c>
      <c r="M5" s="4" t="n">
        <v>3</v>
      </c>
      <c r="N5" s="4" t="n">
        <v>75</v>
      </c>
      <c r="O5" s="4" t="n">
        <v>30</v>
      </c>
      <c r="P5" s="4" t="n">
        <v>3.6</v>
      </c>
      <c r="Q5" s="4" t="n">
        <v>3</v>
      </c>
    </row>
    <row r="6">
      <c r="A6" s="7" t="inlineStr">
        <is>
          <t>2026-05</t>
        </is>
      </c>
      <c r="B6" s="7" t="n">
        <v>203</v>
      </c>
      <c r="C6" s="8" t="n">
        <v>1515243.11</v>
      </c>
      <c r="D6" s="7" t="n">
        <v>149</v>
      </c>
      <c r="E6" s="8" t="n">
        <v>2020062.99</v>
      </c>
      <c r="F6" s="7" t="n">
        <v>352</v>
      </c>
      <c r="G6" s="8" t="n">
        <v>3535306.1</v>
      </c>
      <c r="H6" s="7" t="n">
        <v>1.27</v>
      </c>
      <c r="I6" s="9" t="n">
        <v>0.09379999999999999</v>
      </c>
      <c r="J6" s="9" t="n">
        <v>0.4032</v>
      </c>
      <c r="K6" s="9" t="n">
        <v>0.3226</v>
      </c>
      <c r="L6" s="7" t="n">
        <v>8</v>
      </c>
      <c r="M6" s="7" t="n">
        <v>3</v>
      </c>
      <c r="N6" s="7" t="n">
        <v>85</v>
      </c>
      <c r="O6" s="7" t="n">
        <v>31</v>
      </c>
      <c r="P6" s="7" t="n">
        <v>4.1</v>
      </c>
      <c r="Q6" s="7" t="n">
        <v>3.8</v>
      </c>
    </row>
    <row r="7">
      <c r="A7" s="4" t="inlineStr">
        <is>
          <t>2026-06</t>
        </is>
      </c>
      <c r="B7" s="4" t="n">
        <v>250</v>
      </c>
      <c r="C7" s="5" t="n">
        <v>1941648.36</v>
      </c>
      <c r="D7" s="4" t="n">
        <v>96</v>
      </c>
      <c r="E7" s="5" t="n">
        <v>1188589.12</v>
      </c>
      <c r="F7" s="4" t="n">
        <v>346</v>
      </c>
      <c r="G7" s="5" t="n">
        <v>3130237.48</v>
      </c>
      <c r="H7" s="4" t="n">
        <v>1.08</v>
      </c>
      <c r="I7" s="6" t="n">
        <v>0.1012</v>
      </c>
      <c r="J7" s="6" t="n">
        <v>0.4032</v>
      </c>
      <c r="K7" s="6" t="n">
        <v>0.3226</v>
      </c>
      <c r="L7" s="4" t="n">
        <v>8</v>
      </c>
      <c r="M7" s="4" t="n">
        <v>3</v>
      </c>
      <c r="N7" s="4" t="n">
        <v>82</v>
      </c>
      <c r="O7" s="4" t="n">
        <v>30</v>
      </c>
      <c r="P7" s="4" t="n">
        <v>4.2</v>
      </c>
      <c r="Q7" s="4" t="n">
        <v>3.8</v>
      </c>
    </row>
    <row r="8">
      <c r="A8" s="10" t="inlineStr">
        <is>
          <t>2026-07</t>
        </is>
      </c>
      <c r="B8" s="10" t="n">
        <v>286</v>
      </c>
      <c r="C8" s="11" t="n">
        <v>2203701.57</v>
      </c>
      <c r="D8" s="10" t="n">
        <v>101</v>
      </c>
      <c r="E8" s="11" t="n">
        <v>1406470.02</v>
      </c>
      <c r="F8" s="10" t="n">
        <v>387</v>
      </c>
      <c r="G8" s="11" t="n">
        <v>3610171.59</v>
      </c>
      <c r="H8" s="10" t="n">
        <v>1.03</v>
      </c>
      <c r="I8" s="12" t="n">
        <v>0.0646</v>
      </c>
      <c r="J8" s="12" t="n">
        <v>0.4032</v>
      </c>
      <c r="K8" s="12" t="n">
        <v>0.3226</v>
      </c>
      <c r="L8" s="10" t="n">
        <v>8</v>
      </c>
      <c r="M8" s="10" t="n">
        <v>3</v>
      </c>
      <c r="N8" s="10" t="n">
        <v>78</v>
      </c>
      <c r="O8" s="10" t="n">
        <v>31</v>
      </c>
      <c r="P8" s="10" t="n">
        <v>5</v>
      </c>
      <c r="Q8" s="10" t="n">
        <v>4.2</v>
      </c>
    </row>
    <row r="10">
      <c r="A10" s="2" t="inlineStr">
        <is>
          <t>K1/K2: Pago Lote (Detalle Pago Lote y CTS, Seccion 1). K3/K4: Deposito Lote CTS (Seccion 2).</t>
        </is>
      </c>
    </row>
    <row r="12">
      <c r="A12" s="2" t="inlineStr">
        <is>
          <t>K5 = MAX/MIN ops de asistentes. K5a = ops del analista / total. Cobertura = tiendas unicas / tiendas de la red.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2" customWidth="1" min="5" max="5"/>
    <col width="10" customWidth="1" min="6" max="6"/>
    <col width="12" customWidth="1" min="7" max="7"/>
    <col width="11" customWidth="1" min="8" max="8"/>
    <col width="13" customWidth="1" min="9" max="9"/>
    <col width="14" customWidth="1" min="10" max="10"/>
    <col width="10" customWidth="1" min="11" max="11"/>
  </cols>
  <sheetData>
    <row r="1" ht="22" customHeight="1">
      <c r="A1" s="1" t="inlineStr">
        <is>
          <t>DETALLE POR OPERADOR</t>
        </is>
      </c>
    </row>
    <row r="2">
      <c r="A2" s="3" t="inlineStr">
        <is>
          <t>Mes</t>
        </is>
      </c>
      <c r="B2" s="3" t="inlineStr">
        <is>
          <t>Usuario</t>
        </is>
      </c>
      <c r="C2" s="3" t="inlineStr">
        <is>
          <t>Rol</t>
        </is>
      </c>
      <c r="D2" s="3" t="inlineStr">
        <is>
          <t>Ops Pago</t>
        </is>
      </c>
      <c r="E2" s="3" t="inlineStr">
        <is>
          <t>Monto Pago</t>
        </is>
      </c>
      <c r="F2" s="3" t="inlineStr">
        <is>
          <t>Ops CTS</t>
        </is>
      </c>
      <c r="G2" s="3" t="inlineStr">
        <is>
          <t>Monto CTS</t>
        </is>
      </c>
      <c r="H2" s="3" t="inlineStr">
        <is>
          <t>Total Ops</t>
        </is>
      </c>
      <c r="I2" s="3" t="inlineStr">
        <is>
          <t>Total Monto</t>
        </is>
      </c>
      <c r="J2" s="3" t="inlineStr">
        <is>
          <t>Dias Activos</t>
        </is>
      </c>
      <c r="K2" s="3" t="inlineStr">
        <is>
          <t>Ops/Dia</t>
        </is>
      </c>
    </row>
    <row r="3">
      <c r="A3" s="4" t="inlineStr">
        <is>
          <t>2026-04</t>
        </is>
      </c>
      <c r="B3" s="4" t="inlineStr">
        <is>
          <t>ANALISTA1</t>
        </is>
      </c>
      <c r="C3" s="4" t="inlineStr">
        <is>
          <t>Analista</t>
        </is>
      </c>
      <c r="D3" s="4" t="n">
        <v>16</v>
      </c>
      <c r="E3" s="5" t="n">
        <v>142112.16</v>
      </c>
      <c r="F3" s="4" t="n">
        <v>9</v>
      </c>
      <c r="G3" s="5" t="n">
        <v>94171.73</v>
      </c>
      <c r="H3" s="4" t="n">
        <v>25</v>
      </c>
      <c r="I3" s="5" t="n">
        <v>236283.89</v>
      </c>
      <c r="J3" s="4" t="n">
        <v>17</v>
      </c>
      <c r="K3" s="4" t="n">
        <v>1.5</v>
      </c>
    </row>
    <row r="4">
      <c r="A4" s="7" t="inlineStr">
        <is>
          <t>2026-04</t>
        </is>
      </c>
      <c r="B4" s="7" t="inlineStr">
        <is>
          <t>APOYO01</t>
        </is>
      </c>
      <c r="C4" s="7" t="inlineStr">
        <is>
          <t>Apoyo/Otro</t>
        </is>
      </c>
      <c r="D4" s="7" t="n">
        <v>4</v>
      </c>
      <c r="E4" s="8" t="n">
        <v>53167.35</v>
      </c>
      <c r="F4" s="7" t="n">
        <v>0</v>
      </c>
      <c r="G4" s="8" t="n">
        <v>0</v>
      </c>
      <c r="H4" s="7" t="n">
        <v>4</v>
      </c>
      <c r="I4" s="8" t="n">
        <v>53167.35</v>
      </c>
      <c r="J4" s="7" t="n">
        <v>4</v>
      </c>
      <c r="K4" s="7" t="n">
        <v>1</v>
      </c>
    </row>
    <row r="5">
      <c r="A5" s="4" t="inlineStr">
        <is>
          <t>2026-04</t>
        </is>
      </c>
      <c r="B5" s="4" t="inlineStr">
        <is>
          <t>APOYO02</t>
        </is>
      </c>
      <c r="C5" s="4" t="inlineStr">
        <is>
          <t>Apoyo/Otro</t>
        </is>
      </c>
      <c r="D5" s="4" t="n">
        <v>7</v>
      </c>
      <c r="E5" s="5" t="n">
        <v>81326.44</v>
      </c>
      <c r="F5" s="4" t="n">
        <v>0</v>
      </c>
      <c r="G5" s="5" t="n">
        <v>0</v>
      </c>
      <c r="H5" s="4" t="n">
        <v>7</v>
      </c>
      <c r="I5" s="5" t="n">
        <v>81326.44</v>
      </c>
      <c r="J5" s="4" t="n">
        <v>6</v>
      </c>
      <c r="K5" s="4" t="n">
        <v>1.2</v>
      </c>
    </row>
    <row r="6">
      <c r="A6" s="7" t="inlineStr">
        <is>
          <t>2026-04</t>
        </is>
      </c>
      <c r="B6" s="7" t="inlineStr">
        <is>
          <t>ASISTENTE1</t>
        </is>
      </c>
      <c r="C6" s="7" t="inlineStr">
        <is>
          <t>Asistente 1</t>
        </is>
      </c>
      <c r="D6" s="7" t="n">
        <v>74</v>
      </c>
      <c r="E6" s="8" t="n">
        <v>609888.24</v>
      </c>
      <c r="F6" s="7" t="n">
        <v>39</v>
      </c>
      <c r="G6" s="8" t="n">
        <v>557315.21</v>
      </c>
      <c r="H6" s="7" t="n">
        <v>113</v>
      </c>
      <c r="I6" s="8" t="n">
        <v>1167203.45</v>
      </c>
      <c r="J6" s="7" t="n">
        <v>30</v>
      </c>
      <c r="K6" s="7" t="n">
        <v>3.8</v>
      </c>
    </row>
    <row r="7">
      <c r="A7" s="4" t="inlineStr">
        <is>
          <t>2026-04</t>
        </is>
      </c>
      <c r="B7" s="4" t="inlineStr">
        <is>
          <t>ASISTENTE2</t>
        </is>
      </c>
      <c r="C7" s="4" t="inlineStr">
        <is>
          <t>Asistente 2</t>
        </is>
      </c>
      <c r="D7" s="4" t="n">
        <v>84</v>
      </c>
      <c r="E7" s="5" t="n">
        <v>623847.13</v>
      </c>
      <c r="F7" s="4" t="n">
        <v>34</v>
      </c>
      <c r="G7" s="5" t="n">
        <v>479949.64</v>
      </c>
      <c r="H7" s="4" t="n">
        <v>118</v>
      </c>
      <c r="I7" s="5" t="n">
        <v>1103796.77</v>
      </c>
      <c r="J7" s="4" t="n">
        <v>28</v>
      </c>
      <c r="K7" s="4" t="n">
        <v>4.2</v>
      </c>
    </row>
    <row r="8">
      <c r="A8" s="7" t="inlineStr">
        <is>
          <t>2026-05</t>
        </is>
      </c>
      <c r="B8" s="7" t="inlineStr">
        <is>
          <t>ANALISTA1</t>
        </is>
      </c>
      <c r="C8" s="7" t="inlineStr">
        <is>
          <t>Analista</t>
        </is>
      </c>
      <c r="D8" s="7" t="n">
        <v>21</v>
      </c>
      <c r="E8" s="8" t="n">
        <v>153967.71</v>
      </c>
      <c r="F8" s="7" t="n">
        <v>12</v>
      </c>
      <c r="G8" s="8" t="n">
        <v>159847.56</v>
      </c>
      <c r="H8" s="7" t="n">
        <v>33</v>
      </c>
      <c r="I8" s="8" t="n">
        <v>313815.27</v>
      </c>
      <c r="J8" s="7" t="n">
        <v>23</v>
      </c>
      <c r="K8" s="7" t="n">
        <v>1.4</v>
      </c>
    </row>
    <row r="9">
      <c r="A9" s="4" t="inlineStr">
        <is>
          <t>2026-05</t>
        </is>
      </c>
      <c r="B9" s="4" t="inlineStr">
        <is>
          <t>APOYO01</t>
        </is>
      </c>
      <c r="C9" s="4" t="inlineStr">
        <is>
          <t>Apoyo/Otro</t>
        </is>
      </c>
      <c r="D9" s="4" t="n">
        <v>5</v>
      </c>
      <c r="E9" s="5" t="n">
        <v>39398.46</v>
      </c>
      <c r="F9" s="4" t="n">
        <v>2</v>
      </c>
      <c r="G9" s="5" t="n">
        <v>16285.95</v>
      </c>
      <c r="H9" s="4" t="n">
        <v>7</v>
      </c>
      <c r="I9" s="5" t="n">
        <v>55684.41</v>
      </c>
      <c r="J9" s="4" t="n">
        <v>6</v>
      </c>
      <c r="K9" s="4" t="n">
        <v>1.2</v>
      </c>
    </row>
    <row r="10">
      <c r="A10" s="7" t="inlineStr">
        <is>
          <t>2026-05</t>
        </is>
      </c>
      <c r="B10" s="7" t="inlineStr">
        <is>
          <t>APOYO02</t>
        </is>
      </c>
      <c r="C10" s="7" t="inlineStr">
        <is>
          <t>Apoyo/Otro</t>
        </is>
      </c>
      <c r="D10" s="7" t="n">
        <v>7</v>
      </c>
      <c r="E10" s="8" t="n">
        <v>51440.15</v>
      </c>
      <c r="F10" s="7" t="n">
        <v>1</v>
      </c>
      <c r="G10" s="8" t="n">
        <v>22182.95</v>
      </c>
      <c r="H10" s="7" t="n">
        <v>8</v>
      </c>
      <c r="I10" s="8" t="n">
        <v>73623.10000000001</v>
      </c>
      <c r="J10" s="7" t="n">
        <v>8</v>
      </c>
      <c r="K10" s="7" t="n">
        <v>1</v>
      </c>
    </row>
    <row r="11">
      <c r="A11" s="4" t="inlineStr">
        <is>
          <t>2026-05</t>
        </is>
      </c>
      <c r="B11" s="4" t="inlineStr">
        <is>
          <t>ASISTENTE1</t>
        </is>
      </c>
      <c r="C11" s="4" t="inlineStr">
        <is>
          <t>Asistente 1</t>
        </is>
      </c>
      <c r="D11" s="4" t="n">
        <v>86</v>
      </c>
      <c r="E11" s="5" t="n">
        <v>672983.99</v>
      </c>
      <c r="F11" s="4" t="n">
        <v>84</v>
      </c>
      <c r="G11" s="5" t="n">
        <v>1113715.25</v>
      </c>
      <c r="H11" s="4" t="n">
        <v>170</v>
      </c>
      <c r="I11" s="5" t="n">
        <v>1786699.24</v>
      </c>
      <c r="J11" s="4" t="n">
        <v>31</v>
      </c>
      <c r="K11" s="4" t="n">
        <v>5.5</v>
      </c>
    </row>
    <row r="12">
      <c r="A12" s="7" t="inlineStr">
        <is>
          <t>2026-05</t>
        </is>
      </c>
      <c r="B12" s="7" t="inlineStr">
        <is>
          <t>ASISTENTE2</t>
        </is>
      </c>
      <c r="C12" s="7" t="inlineStr">
        <is>
          <t>Asistente 2</t>
        </is>
      </c>
      <c r="D12" s="7" t="n">
        <v>84</v>
      </c>
      <c r="E12" s="8" t="n">
        <v>597452.8</v>
      </c>
      <c r="F12" s="7" t="n">
        <v>50</v>
      </c>
      <c r="G12" s="8" t="n">
        <v>708031.28</v>
      </c>
      <c r="H12" s="7" t="n">
        <v>134</v>
      </c>
      <c r="I12" s="8" t="n">
        <v>1305484.08</v>
      </c>
      <c r="J12" s="7" t="n">
        <v>31</v>
      </c>
      <c r="K12" s="7" t="n">
        <v>4.3</v>
      </c>
    </row>
    <row r="13">
      <c r="A13" s="4" t="inlineStr">
        <is>
          <t>2026-06</t>
        </is>
      </c>
      <c r="B13" s="4" t="inlineStr">
        <is>
          <t>ANALISTA1</t>
        </is>
      </c>
      <c r="C13" s="4" t="inlineStr">
        <is>
          <t>Analista</t>
        </is>
      </c>
      <c r="D13" s="4" t="n">
        <v>26</v>
      </c>
      <c r="E13" s="5" t="n">
        <v>175224.24</v>
      </c>
      <c r="F13" s="4" t="n">
        <v>9</v>
      </c>
      <c r="G13" s="5" t="n">
        <v>106510.76</v>
      </c>
      <c r="H13" s="4" t="n">
        <v>35</v>
      </c>
      <c r="I13" s="5" t="n">
        <v>281735</v>
      </c>
      <c r="J13" s="4" t="n">
        <v>23</v>
      </c>
      <c r="K13" s="4" t="n">
        <v>1.5</v>
      </c>
    </row>
    <row r="14">
      <c r="A14" s="7" t="inlineStr">
        <is>
          <t>2026-06</t>
        </is>
      </c>
      <c r="B14" s="7" t="inlineStr">
        <is>
          <t>APOYO01</t>
        </is>
      </c>
      <c r="C14" s="7" t="inlineStr">
        <is>
          <t>Apoyo/Otro</t>
        </is>
      </c>
      <c r="D14" s="7" t="n">
        <v>9</v>
      </c>
      <c r="E14" s="8" t="n">
        <v>70301.10000000001</v>
      </c>
      <c r="F14" s="7" t="n">
        <v>2</v>
      </c>
      <c r="G14" s="8" t="n">
        <v>18775.46</v>
      </c>
      <c r="H14" s="7" t="n">
        <v>11</v>
      </c>
      <c r="I14" s="8" t="n">
        <v>89076.56</v>
      </c>
      <c r="J14" s="7" t="n">
        <v>9</v>
      </c>
      <c r="K14" s="7" t="n">
        <v>1.2</v>
      </c>
    </row>
    <row r="15">
      <c r="A15" s="4" t="inlineStr">
        <is>
          <t>2026-06</t>
        </is>
      </c>
      <c r="B15" s="4" t="inlineStr">
        <is>
          <t>APOYO02</t>
        </is>
      </c>
      <c r="C15" s="4" t="inlineStr">
        <is>
          <t>Apoyo/Otro</t>
        </is>
      </c>
      <c r="D15" s="4" t="n">
        <v>1</v>
      </c>
      <c r="E15" s="5" t="n">
        <v>11903.2</v>
      </c>
      <c r="F15" s="4" t="n">
        <v>2</v>
      </c>
      <c r="G15" s="5" t="n">
        <v>37636.74</v>
      </c>
      <c r="H15" s="4" t="n">
        <v>3</v>
      </c>
      <c r="I15" s="5" t="n">
        <v>49539.94</v>
      </c>
      <c r="J15" s="4" t="n">
        <v>3</v>
      </c>
      <c r="K15" s="4" t="n">
        <v>1</v>
      </c>
    </row>
    <row r="16">
      <c r="A16" s="7" t="inlineStr">
        <is>
          <t>2026-06</t>
        </is>
      </c>
      <c r="B16" s="7" t="inlineStr">
        <is>
          <t>ASISTENTE1</t>
        </is>
      </c>
      <c r="C16" s="7" t="inlineStr">
        <is>
          <t>Asistente 1</t>
        </is>
      </c>
      <c r="D16" s="7" t="n">
        <v>114</v>
      </c>
      <c r="E16" s="8" t="n">
        <v>858914.02</v>
      </c>
      <c r="F16" s="7" t="n">
        <v>40</v>
      </c>
      <c r="G16" s="8" t="n">
        <v>442820.95</v>
      </c>
      <c r="H16" s="7" t="n">
        <v>154</v>
      </c>
      <c r="I16" s="8" t="n">
        <v>1301734.97</v>
      </c>
      <c r="J16" s="7" t="n">
        <v>29</v>
      </c>
      <c r="K16" s="7" t="n">
        <v>5.3</v>
      </c>
    </row>
    <row r="17">
      <c r="A17" s="4" t="inlineStr">
        <is>
          <t>2026-06</t>
        </is>
      </c>
      <c r="B17" s="4" t="inlineStr">
        <is>
          <t>ASISTENTE2</t>
        </is>
      </c>
      <c r="C17" s="4" t="inlineStr">
        <is>
          <t>Asistente 2</t>
        </is>
      </c>
      <c r="D17" s="4" t="n">
        <v>100</v>
      </c>
      <c r="E17" s="5" t="n">
        <v>825305.8</v>
      </c>
      <c r="F17" s="4" t="n">
        <v>43</v>
      </c>
      <c r="G17" s="5" t="n">
        <v>582845.21</v>
      </c>
      <c r="H17" s="4" t="n">
        <v>143</v>
      </c>
      <c r="I17" s="5" t="n">
        <v>1408151.01</v>
      </c>
      <c r="J17" s="4" t="n">
        <v>30</v>
      </c>
      <c r="K17" s="4" t="n">
        <v>4.8</v>
      </c>
    </row>
    <row r="18">
      <c r="A18" s="10" t="inlineStr">
        <is>
          <t>2026-07</t>
        </is>
      </c>
      <c r="B18" s="10" t="inlineStr">
        <is>
          <t>ANALISTA1</t>
        </is>
      </c>
      <c r="C18" s="10" t="inlineStr">
        <is>
          <t>Analista</t>
        </is>
      </c>
      <c r="D18" s="10" t="n">
        <v>21</v>
      </c>
      <c r="E18" s="11" t="n">
        <v>162234.06</v>
      </c>
      <c r="F18" s="10" t="n">
        <v>4</v>
      </c>
      <c r="G18" s="11" t="n">
        <v>54672.54</v>
      </c>
      <c r="H18" s="10" t="n">
        <v>25</v>
      </c>
      <c r="I18" s="11" t="n">
        <v>216906.6</v>
      </c>
      <c r="J18" s="10" t="n">
        <v>16</v>
      </c>
      <c r="K18" s="10" t="n">
        <v>1.6</v>
      </c>
    </row>
    <row r="19">
      <c r="A19" s="10" t="inlineStr">
        <is>
          <t>2026-07</t>
        </is>
      </c>
      <c r="B19" s="10" t="inlineStr">
        <is>
          <t>APOYO01</t>
        </is>
      </c>
      <c r="C19" s="10" t="inlineStr">
        <is>
          <t>Apoyo/Otro</t>
        </is>
      </c>
      <c r="D19" s="10" t="n">
        <v>10</v>
      </c>
      <c r="E19" s="11" t="n">
        <v>66288.62</v>
      </c>
      <c r="F19" s="10" t="n">
        <v>1</v>
      </c>
      <c r="G19" s="11" t="n">
        <v>24231.47</v>
      </c>
      <c r="H19" s="10" t="n">
        <v>11</v>
      </c>
      <c r="I19" s="11" t="n">
        <v>90520.09</v>
      </c>
      <c r="J19" s="10" t="n">
        <v>8</v>
      </c>
      <c r="K19" s="10" t="n">
        <v>1.4</v>
      </c>
    </row>
    <row r="20">
      <c r="A20" s="10" t="inlineStr">
        <is>
          <t>2026-07</t>
        </is>
      </c>
      <c r="B20" s="10" t="inlineStr">
        <is>
          <t>APOYO02</t>
        </is>
      </c>
      <c r="C20" s="10" t="inlineStr">
        <is>
          <t>Apoyo/Otro</t>
        </is>
      </c>
      <c r="D20" s="10" t="n">
        <v>3</v>
      </c>
      <c r="E20" s="11" t="n">
        <v>16474.75</v>
      </c>
      <c r="F20" s="10" t="n">
        <v>1</v>
      </c>
      <c r="G20" s="11" t="n">
        <v>6802.26</v>
      </c>
      <c r="H20" s="10" t="n">
        <v>4</v>
      </c>
      <c r="I20" s="11" t="n">
        <v>23277.01</v>
      </c>
      <c r="J20" s="10" t="n">
        <v>4</v>
      </c>
      <c r="K20" s="10" t="n">
        <v>1</v>
      </c>
    </row>
    <row r="21">
      <c r="A21" s="10" t="inlineStr">
        <is>
          <t>2026-07</t>
        </is>
      </c>
      <c r="B21" s="10" t="inlineStr">
        <is>
          <t>ASISTENTE1</t>
        </is>
      </c>
      <c r="C21" s="10" t="inlineStr">
        <is>
          <t>Asistente 1</t>
        </is>
      </c>
      <c r="D21" s="10" t="n">
        <v>133</v>
      </c>
      <c r="E21" s="11" t="n">
        <v>949299.13</v>
      </c>
      <c r="F21" s="10" t="n">
        <v>43</v>
      </c>
      <c r="G21" s="11" t="n">
        <v>608986.33</v>
      </c>
      <c r="H21" s="10" t="n">
        <v>176</v>
      </c>
      <c r="I21" s="11" t="n">
        <v>1558285.46</v>
      </c>
      <c r="J21" s="10" t="n">
        <v>31</v>
      </c>
      <c r="K21" s="10" t="n">
        <v>5.7</v>
      </c>
    </row>
    <row r="22">
      <c r="A22" s="10" t="inlineStr">
        <is>
          <t>2026-07</t>
        </is>
      </c>
      <c r="B22" s="10" t="inlineStr">
        <is>
          <t>ASISTENTE2</t>
        </is>
      </c>
      <c r="C22" s="10" t="inlineStr">
        <is>
          <t>Asistente 2</t>
        </is>
      </c>
      <c r="D22" s="10" t="n">
        <v>119</v>
      </c>
      <c r="E22" s="11" t="n">
        <v>1009405.01</v>
      </c>
      <c r="F22" s="10" t="n">
        <v>52</v>
      </c>
      <c r="G22" s="11" t="n">
        <v>711777.42</v>
      </c>
      <c r="H22" s="10" t="n">
        <v>171</v>
      </c>
      <c r="I22" s="11" t="n">
        <v>1721182.43</v>
      </c>
      <c r="J22" s="10" t="n">
        <v>31</v>
      </c>
      <c r="K22" s="10" t="n">
        <v>5.5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21" customWidth="1" min="4" max="4"/>
    <col width="17" customWidth="1" min="5" max="5"/>
    <col width="23" customWidth="1" min="6" max="6"/>
    <col width="22" customWidth="1" min="7" max="7"/>
    <col width="10" customWidth="1" min="8" max="8"/>
  </cols>
  <sheetData>
    <row r="1" ht="22" customHeight="1">
      <c r="A1" s="1" t="inlineStr">
        <is>
          <t>K7 · EFICIENCIA OPERATIVA</t>
        </is>
      </c>
    </row>
    <row r="2">
      <c r="A2" s="2" t="inlineStr">
        <is>
          <t>Persona-dia = Total ops / (dias efectivamente trabajados sumados por operador).</t>
        </is>
      </c>
    </row>
    <row r="4">
      <c r="A4" s="2" t="inlineStr">
        <is>
          <t>Calendario = Total ops / (operadores activos x dias calendario con actividad).</t>
        </is>
      </c>
    </row>
    <row r="6">
      <c r="A6" s="3" t="inlineStr">
        <is>
          <t>Mes</t>
        </is>
      </c>
      <c r="B6" s="3" t="inlineStr">
        <is>
          <t>Total Ops</t>
        </is>
      </c>
      <c r="C6" s="3" t="inlineStr">
        <is>
          <t>Operadores Activos</t>
        </is>
      </c>
      <c r="D6" s="3" t="inlineStr">
        <is>
          <t>Persona-dias Reales</t>
        </is>
      </c>
      <c r="E6" s="3" t="inlineStr">
        <is>
          <t>Dias Calendario</t>
        </is>
      </c>
      <c r="F6" s="3" t="inlineStr">
        <is>
          <t>Ops/Dia (persona-dia)</t>
        </is>
      </c>
      <c r="G6" s="3" t="inlineStr">
        <is>
          <t>Ops/Dia (calendario)</t>
        </is>
      </c>
      <c r="H6" s="3" t="inlineStr">
        <is>
          <t>Brecha</t>
        </is>
      </c>
    </row>
    <row r="7">
      <c r="A7" s="4" t="inlineStr">
        <is>
          <t>2026-04</t>
        </is>
      </c>
      <c r="B7" s="4" t="n">
        <v>267</v>
      </c>
      <c r="C7" s="4" t="n">
        <v>3</v>
      </c>
      <c r="D7" s="4" t="n">
        <v>75</v>
      </c>
      <c r="E7" s="4" t="n">
        <v>30</v>
      </c>
      <c r="F7" s="4" t="n">
        <v>3.6</v>
      </c>
      <c r="G7" s="4" t="n">
        <v>3</v>
      </c>
      <c r="H7" s="4" t="n">
        <v>0.6</v>
      </c>
    </row>
    <row r="8">
      <c r="A8" s="7" t="inlineStr">
        <is>
          <t>2026-05</t>
        </is>
      </c>
      <c r="B8" s="7" t="n">
        <v>352</v>
      </c>
      <c r="C8" s="7" t="n">
        <v>3</v>
      </c>
      <c r="D8" s="7" t="n">
        <v>85</v>
      </c>
      <c r="E8" s="7" t="n">
        <v>31</v>
      </c>
      <c r="F8" s="7" t="n">
        <v>4.1</v>
      </c>
      <c r="G8" s="7" t="n">
        <v>3.8</v>
      </c>
      <c r="H8" s="7" t="n">
        <v>0.4</v>
      </c>
    </row>
    <row r="9">
      <c r="A9" s="4" t="inlineStr">
        <is>
          <t>2026-06</t>
        </is>
      </c>
      <c r="B9" s="4" t="n">
        <v>346</v>
      </c>
      <c r="C9" s="4" t="n">
        <v>3</v>
      </c>
      <c r="D9" s="4" t="n">
        <v>82</v>
      </c>
      <c r="E9" s="4" t="n">
        <v>30</v>
      </c>
      <c r="F9" s="4" t="n">
        <v>4.2</v>
      </c>
      <c r="G9" s="4" t="n">
        <v>3.8</v>
      </c>
      <c r="H9" s="4" t="n">
        <v>0.4</v>
      </c>
    </row>
    <row r="10">
      <c r="A10" s="10" t="inlineStr">
        <is>
          <t>2026-07</t>
        </is>
      </c>
      <c r="B10" s="10" t="n">
        <v>387</v>
      </c>
      <c r="C10" s="10" t="n">
        <v>3</v>
      </c>
      <c r="D10" s="10" t="n">
        <v>78</v>
      </c>
      <c r="E10" s="10" t="n">
        <v>31</v>
      </c>
      <c r="F10" s="10" t="n">
        <v>5</v>
      </c>
      <c r="G10" s="10" t="n">
        <v>4.2</v>
      </c>
      <c r="H10" s="10" t="n">
        <v>0.8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28" customWidth="1" min="4" max="4"/>
    <col width="15" customWidth="1" min="5" max="5"/>
    <col width="15" customWidth="1" min="6" max="6"/>
    <col width="16" customWidth="1" min="7" max="7"/>
    <col width="12" customWidth="1" min="8" max="8"/>
    <col width="22" customWidth="1" min="9" max="9"/>
  </cols>
  <sheetData>
    <row r="1" ht="22" customHeight="1">
      <c r="A1" s="1" t="inlineStr">
        <is>
          <t>K8 · TASA DE EXTORNOS</t>
        </is>
      </c>
    </row>
    <row r="2">
      <c r="A2" s="2" t="inlineStr">
        <is>
          <t>Un extorno = un N° Mov Extorno unico. Imputable = motivo 'ERROR USUARIO'. Tasa = imputables / K1 Pago Lote.</t>
        </is>
      </c>
    </row>
    <row r="4">
      <c r="A4" s="3" t="inlineStr">
        <is>
          <t>Mes</t>
        </is>
      </c>
      <c r="B4" s="3" t="inlineStr">
        <is>
          <t>K1 Pago Lote</t>
        </is>
      </c>
      <c r="C4" s="3" t="inlineStr">
        <is>
          <t>Extornos Totales</t>
        </is>
      </c>
      <c r="D4" s="3" t="inlineStr">
        <is>
          <t>Imputables (Error Usuario)</t>
        </is>
      </c>
      <c r="E4" s="3" t="inlineStr">
        <is>
          <t>Error Sistema</t>
        </is>
      </c>
      <c r="F4" s="3" t="inlineStr">
        <is>
          <t>Error Cliente</t>
        </is>
      </c>
      <c r="G4" s="3" t="inlineStr">
        <is>
          <t>Tasa Imputable</t>
        </is>
      </c>
      <c r="H4" s="3" t="inlineStr">
        <is>
          <t>Tasa Total</t>
        </is>
      </c>
      <c r="I4" s="3" t="inlineStr">
        <is>
          <t>Monto Extornado (S/)</t>
        </is>
      </c>
    </row>
    <row r="5">
      <c r="A5" s="4" t="inlineStr">
        <is>
          <t>2026-04</t>
        </is>
      </c>
      <c r="B5" s="4" t="n">
        <v>185</v>
      </c>
      <c r="C5" s="4" t="n">
        <v>6</v>
      </c>
      <c r="D5" s="4" t="n">
        <v>6</v>
      </c>
      <c r="E5" s="4" t="n">
        <v>0</v>
      </c>
      <c r="F5" s="4" t="n">
        <v>0</v>
      </c>
      <c r="G5" s="6" t="n">
        <v>0.03243</v>
      </c>
      <c r="H5" s="6" t="n">
        <v>0.03243</v>
      </c>
      <c r="I5" s="5" t="n">
        <v>24426.77</v>
      </c>
    </row>
    <row r="6">
      <c r="A6" s="7" t="inlineStr">
        <is>
          <t>2026-05</t>
        </is>
      </c>
      <c r="B6" s="7" t="n">
        <v>203</v>
      </c>
      <c r="C6" s="7" t="n">
        <v>5</v>
      </c>
      <c r="D6" s="7" t="n">
        <v>3</v>
      </c>
      <c r="E6" s="7" t="n">
        <v>1</v>
      </c>
      <c r="F6" s="7" t="n">
        <v>1</v>
      </c>
      <c r="G6" s="9" t="n">
        <v>0.01478</v>
      </c>
      <c r="H6" s="9" t="n">
        <v>0.02463</v>
      </c>
      <c r="I6" s="8" t="n">
        <v>19277.23</v>
      </c>
    </row>
    <row r="7">
      <c r="A7" s="4" t="inlineStr">
        <is>
          <t>2026-06</t>
        </is>
      </c>
      <c r="B7" s="4" t="n">
        <v>250</v>
      </c>
      <c r="C7" s="4" t="n">
        <v>2</v>
      </c>
      <c r="D7" s="4" t="n">
        <v>2</v>
      </c>
      <c r="E7" s="4" t="n">
        <v>0</v>
      </c>
      <c r="F7" s="4" t="n">
        <v>0</v>
      </c>
      <c r="G7" s="6" t="n">
        <v>0.008</v>
      </c>
      <c r="H7" s="6" t="n">
        <v>0.008</v>
      </c>
      <c r="I7" s="5" t="n">
        <v>2559.1</v>
      </c>
    </row>
    <row r="8">
      <c r="A8" s="10" t="inlineStr">
        <is>
          <t>2026-07</t>
        </is>
      </c>
      <c r="B8" s="10" t="n">
        <v>286</v>
      </c>
      <c r="C8" s="10" t="n">
        <v>5</v>
      </c>
      <c r="D8" s="10" t="n">
        <v>2</v>
      </c>
      <c r="E8" s="10" t="n">
        <v>0</v>
      </c>
      <c r="F8" s="10" t="n">
        <v>3</v>
      </c>
      <c r="G8" s="12" t="n">
        <v>0.00699</v>
      </c>
      <c r="H8" s="12" t="n">
        <v>0.01748</v>
      </c>
      <c r="I8" s="11" t="n">
        <v>16928.41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7" customWidth="1" min="4" max="4"/>
    <col width="11" customWidth="1" min="5" max="5"/>
    <col width="22" customWidth="1" min="6" max="6"/>
    <col width="18" customWidth="1" min="7" max="7"/>
  </cols>
  <sheetData>
    <row r="1" ht="22" customHeight="1">
      <c r="A1" s="1" t="inlineStr">
        <is>
          <t>K9 · TIEMPO DE PROCESAMIENTO (ESTIMADO)</t>
        </is>
      </c>
    </row>
    <row r="2">
      <c r="A2" s="2" t="inlineStr">
        <is>
          <t>ADVERTENCIA: estimado, NO cronometrado. Supuesto: 1.3 min/Pago Lote y 4.0 min/CTS.</t>
        </is>
      </c>
    </row>
    <row r="4">
      <c r="A4" s="3" t="inlineStr">
        <is>
          <t>Mes</t>
        </is>
      </c>
      <c r="B4" s="3" t="inlineStr">
        <is>
          <t>K1 Pago Lote</t>
        </is>
      </c>
      <c r="C4" s="3" t="inlineStr">
        <is>
          <t>K3 CTS</t>
        </is>
      </c>
      <c r="D4" s="3" t="inlineStr">
        <is>
          <t>Horas Pago Lote</t>
        </is>
      </c>
      <c r="E4" s="3" t="inlineStr">
        <is>
          <t>Horas CTS</t>
        </is>
      </c>
      <c r="F4" s="3" t="inlineStr">
        <is>
          <t>Horas Totales Estim.</t>
        </is>
      </c>
      <c r="G4" s="3" t="inlineStr">
        <is>
          <t>Equiv. Dias (8h)</t>
        </is>
      </c>
    </row>
    <row r="5">
      <c r="A5" s="4" t="inlineStr">
        <is>
          <t>2026-04</t>
        </is>
      </c>
      <c r="B5" s="4" t="n">
        <v>185</v>
      </c>
      <c r="C5" s="4" t="n">
        <v>82</v>
      </c>
      <c r="D5" s="4" t="n">
        <v>4</v>
      </c>
      <c r="E5" s="4" t="n">
        <v>5.5</v>
      </c>
      <c r="F5" s="4" t="n">
        <v>9.5</v>
      </c>
      <c r="G5" s="4" t="n">
        <v>1.2</v>
      </c>
    </row>
    <row r="6">
      <c r="A6" s="7" t="inlineStr">
        <is>
          <t>2026-05</t>
        </is>
      </c>
      <c r="B6" s="7" t="n">
        <v>203</v>
      </c>
      <c r="C6" s="7" t="n">
        <v>149</v>
      </c>
      <c r="D6" s="7" t="n">
        <v>4.4</v>
      </c>
      <c r="E6" s="7" t="n">
        <v>9.9</v>
      </c>
      <c r="F6" s="7" t="n">
        <v>14.3</v>
      </c>
      <c r="G6" s="7" t="n">
        <v>1.8</v>
      </c>
    </row>
    <row r="7">
      <c r="A7" s="4" t="inlineStr">
        <is>
          <t>2026-06</t>
        </is>
      </c>
      <c r="B7" s="4" t="n">
        <v>250</v>
      </c>
      <c r="C7" s="4" t="n">
        <v>96</v>
      </c>
      <c r="D7" s="4" t="n">
        <v>5.4</v>
      </c>
      <c r="E7" s="4" t="n">
        <v>6.4</v>
      </c>
      <c r="F7" s="4" t="n">
        <v>11.8</v>
      </c>
      <c r="G7" s="4" t="n">
        <v>1.5</v>
      </c>
    </row>
    <row r="8">
      <c r="A8" s="10" t="inlineStr">
        <is>
          <t>2026-07</t>
        </is>
      </c>
      <c r="B8" s="10" t="n">
        <v>286</v>
      </c>
      <c r="C8" s="10" t="n">
        <v>101</v>
      </c>
      <c r="D8" s="10" t="n">
        <v>6.2</v>
      </c>
      <c r="E8" s="10" t="n">
        <v>6.7</v>
      </c>
      <c r="F8" s="10" t="n">
        <v>12.9</v>
      </c>
      <c r="G8" s="10" t="n">
        <v>1.6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1" t="inlineStr">
        <is>
          <t>ABONO DE SUELDOS Y CTS · OFICINA PRINCIPAL (NOSOTROS)</t>
        </is>
      </c>
    </row>
    <row r="2">
      <c r="A2" s="2" t="inlineStr">
        <is>
          <t>Filtrado a Tienda = 'OFICINA PRINCIPAL' — el resto de agencias hacen su propio abono local.</t>
        </is>
      </c>
    </row>
    <row r="4">
      <c r="A4" s="2" t="inlineStr">
        <is>
          <t>Unico reporte con columna 'Estado' -&gt; permite medir % exitoso, brecha ausente en los demas reportes.</t>
        </is>
      </c>
    </row>
    <row r="6">
      <c r="A6" s="3" t="inlineStr">
        <is>
          <t>Mes</t>
        </is>
      </c>
      <c r="B6" s="3" t="inlineStr">
        <is>
          <t>Total Abonos</t>
        </is>
      </c>
      <c r="C6" s="3" t="inlineStr">
        <is>
          <t>Sueldos</t>
        </is>
      </c>
      <c r="D6" s="3" t="inlineStr">
        <is>
          <t>CTS</t>
        </is>
      </c>
      <c r="E6" s="3" t="inlineStr">
        <is>
          <t>Exitosos</t>
        </is>
      </c>
      <c r="F6" s="3" t="inlineStr">
        <is>
          <t>% Exitoso</t>
        </is>
      </c>
      <c r="G6" s="3" t="inlineStr">
        <is>
          <t>Empleadores</t>
        </is>
      </c>
    </row>
    <row r="7">
      <c r="A7" s="4" t="inlineStr">
        <is>
          <t>2026-04</t>
        </is>
      </c>
      <c r="B7" s="4" t="n">
        <v>128</v>
      </c>
      <c r="C7" s="4" t="n">
        <v>65</v>
      </c>
      <c r="D7" s="4" t="n">
        <v>63</v>
      </c>
      <c r="E7" s="4" t="n">
        <v>113</v>
      </c>
      <c r="F7" s="6" t="n">
        <v>0.8828</v>
      </c>
      <c r="G7" s="4" t="n">
        <v>8</v>
      </c>
    </row>
    <row r="8">
      <c r="A8" s="7" t="inlineStr">
        <is>
          <t>2026-05</t>
        </is>
      </c>
      <c r="B8" s="7" t="n">
        <v>176</v>
      </c>
      <c r="C8" s="7" t="n">
        <v>83</v>
      </c>
      <c r="D8" s="7" t="n">
        <v>93</v>
      </c>
      <c r="E8" s="7" t="n">
        <v>158</v>
      </c>
      <c r="F8" s="9" t="n">
        <v>0.8977000000000001</v>
      </c>
      <c r="G8" s="7" t="n">
        <v>8</v>
      </c>
    </row>
    <row r="9">
      <c r="A9" s="4" t="inlineStr">
        <is>
          <t>2026-06</t>
        </is>
      </c>
      <c r="B9" s="4" t="n">
        <v>177</v>
      </c>
      <c r="C9" s="4" t="n">
        <v>107</v>
      </c>
      <c r="D9" s="4" t="n">
        <v>70</v>
      </c>
      <c r="E9" s="4" t="n">
        <v>151</v>
      </c>
      <c r="F9" s="6" t="n">
        <v>0.8531</v>
      </c>
      <c r="G9" s="4" t="n">
        <v>8</v>
      </c>
    </row>
    <row r="10">
      <c r="A10" s="10" t="inlineStr">
        <is>
          <t>2026-07</t>
        </is>
      </c>
      <c r="B10" s="10" t="n">
        <v>152</v>
      </c>
      <c r="C10" s="10" t="n">
        <v>80</v>
      </c>
      <c r="D10" s="10" t="n">
        <v>72</v>
      </c>
      <c r="E10" s="10" t="n">
        <v>126</v>
      </c>
      <c r="F10" s="12" t="n">
        <v>0.8289</v>
      </c>
      <c r="G10" s="10" t="n">
        <v>8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32" customWidth="1" min="3" max="3"/>
    <col width="22" customWidth="1" min="4" max="4"/>
  </cols>
  <sheetData>
    <row r="1" ht="22" customHeight="1">
      <c r="A1" s="1" t="inlineStr">
        <is>
          <t>K6 · % CENTRALIZACION CTS</t>
        </is>
      </c>
    </row>
    <row r="2">
      <c r="A2" s="2" t="inlineStr">
        <is>
          <t>Formula: CTS atendido en OFICINA PRINCIPAL (Centrales) / CTS total de TODA la red.</t>
        </is>
      </c>
    </row>
    <row r="4">
      <c r="A4" s="2" t="inlineStr">
        <is>
          <t>Mide cuanto del CTS de la red ya se resuelve de forma centralizada en vez de en cada agencia.</t>
        </is>
      </c>
    </row>
    <row r="6">
      <c r="A6" s="3" t="inlineStr">
        <is>
          <t>Mes</t>
        </is>
      </c>
      <c r="B6" s="3" t="inlineStr">
        <is>
          <t>CTS Oficina Principal</t>
        </is>
      </c>
      <c r="C6" s="3" t="inlineStr">
        <is>
          <t>CTS Total Red (todas agencias)</t>
        </is>
      </c>
      <c r="D6" s="3" t="inlineStr">
        <is>
          <t>% Centralizacion CTS</t>
        </is>
      </c>
    </row>
    <row r="7">
      <c r="A7" s="4" t="inlineStr">
        <is>
          <t>2026-04</t>
        </is>
      </c>
      <c r="B7" s="4" t="n">
        <v>63</v>
      </c>
      <c r="C7" s="4" t="n">
        <v>426</v>
      </c>
      <c r="D7" s="6" t="n">
        <v>0.1479</v>
      </c>
    </row>
    <row r="8">
      <c r="A8" s="7" t="inlineStr">
        <is>
          <t>2026-05</t>
        </is>
      </c>
      <c r="B8" s="7" t="n">
        <v>93</v>
      </c>
      <c r="C8" s="7" t="n">
        <v>455</v>
      </c>
      <c r="D8" s="9" t="n">
        <v>0.2044</v>
      </c>
    </row>
    <row r="9">
      <c r="A9" s="4" t="inlineStr">
        <is>
          <t>2026-06</t>
        </is>
      </c>
      <c r="B9" s="4" t="n">
        <v>70</v>
      </c>
      <c r="C9" s="4" t="n">
        <v>381</v>
      </c>
      <c r="D9" s="6" t="n">
        <v>0.1837</v>
      </c>
    </row>
    <row r="10">
      <c r="A10" s="10" t="inlineStr">
        <is>
          <t>2026-07</t>
        </is>
      </c>
      <c r="B10" s="10" t="n">
        <v>72</v>
      </c>
      <c r="C10" s="10" t="n">
        <v>383</v>
      </c>
      <c r="D10" s="12" t="n">
        <v>0.188</v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sheetData>
    <row r="1" ht="22" customHeight="1">
      <c r="A1" s="1" t="inlineStr">
        <is>
          <t>BUZON DE REQUERIMIENTOS</t>
        </is>
      </c>
    </row>
    <row r="2">
      <c r="A2" s="2" t="inlineStr">
        <is>
          <t>Categorias tal como se escriben en el CSV: variantes de tipeo (ej. 'ABONO CTS' vs 'ABONO C TS') pueden aparecer separadas. Revisar/agrupar manualmente si se requiere.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8.43" customWidth="1" min="14" max="14"/>
    <col width="8.43" customWidth="1" min="15" max="15"/>
    <col width="8.43" customWidth="1" min="16" max="16"/>
    <col width="8.43" customWidth="1" min="17" max="17"/>
    <col width="8.43" customWidth="1" min="18" max="18"/>
    <col width="8.43" customWidth="1" min="19" max="19"/>
    <col width="8.43" customWidth="1" min="20" max="20"/>
    <col width="8.43" customWidth="1" min="21" max="21"/>
    <col width="8.43" customWidth="1" min="22" max="22"/>
    <col width="8.43" customWidth="1" min="23" max="23"/>
    <col width="8.43" customWidth="1" min="24" max="24"/>
    <col width="8.43" customWidth="1" min="25" max="25"/>
    <col width="8.43" customWidth="1" min="26" max="26"/>
    <col width="8.43" customWidth="1" min="27" max="27"/>
    <col width="8.43" customWidth="1" min="28" max="28"/>
    <col width="8.43" customWidth="1" min="29" max="29"/>
    <col width="8.43" customWidth="1" min="30" max="30"/>
    <col width="8.43" customWidth="1" min="31" max="31"/>
    <col width="8.43" customWidth="1" min="32" max="32"/>
    <col width="8.43" customWidth="1" min="33" max="33"/>
    <col width="8.43" customWidth="1" min="34" max="34"/>
    <col width="8.43" customWidth="1" min="35" max="35"/>
    <col width="8.43" customWidth="1" min="36" max="36"/>
    <col width="8.43" customWidth="1" min="37" max="37"/>
  </cols>
  <sheetData>
    <row r="1" ht="22" customHeight="1">
      <c r="A1" s="1" t="inlineStr">
        <is>
          <t>GRAFICOS — PAGOS MASIVOS Y CTS</t>
        </is>
      </c>
    </row>
    <row r="2">
      <c r="A2" s="13" t="inlineStr">
        <is>
          <t>Mes</t>
        </is>
      </c>
      <c r="B2" s="13" t="inlineStr">
        <is>
          <t>K1 Vol Pago</t>
        </is>
      </c>
      <c r="C2" s="13" t="inlineStr">
        <is>
          <t>K3 Vol CTS</t>
        </is>
      </c>
      <c r="D2" s="13" t="inlineStr">
        <is>
          <t>K2 Monto Pago</t>
        </is>
      </c>
      <c r="E2" s="13" t="inlineStr">
        <is>
          <t>K4 Monto CTS</t>
        </is>
      </c>
      <c r="F2" s="13" t="inlineStr">
        <is>
          <t>K5a %Analista</t>
        </is>
      </c>
      <c r="G2" s="13" t="inlineStr">
        <is>
          <t>K7 %Cobert Pago</t>
        </is>
      </c>
      <c r="H2" s="13" t="inlineStr">
        <is>
          <t>K8 %Cobert CTS</t>
        </is>
      </c>
      <c r="I2" s="13" t="inlineStr">
        <is>
          <t>K5 Ratio Asist.</t>
        </is>
      </c>
      <c r="J2" s="13" t="inlineStr">
        <is>
          <t>Ops/dia persona</t>
        </is>
      </c>
      <c r="K2" s="13" t="inlineStr">
        <is>
          <t>Ops/dia calendario</t>
        </is>
      </c>
      <c r="L2" s="13" t="inlineStr">
        <is>
          <t>K6 %Centralizacion CTS</t>
        </is>
      </c>
    </row>
    <row r="3">
      <c r="A3" t="inlineStr">
        <is>
          <t>2026-04</t>
        </is>
      </c>
      <c r="B3" t="n">
        <v>185</v>
      </c>
      <c r="C3" t="n">
        <v>82</v>
      </c>
      <c r="D3" t="n">
        <v>1510341.32</v>
      </c>
      <c r="E3" t="n">
        <v>1131436.58</v>
      </c>
      <c r="F3" s="14" t="n">
        <v>0.0936</v>
      </c>
      <c r="G3" s="14" t="n">
        <v>0.4032</v>
      </c>
      <c r="H3" s="14" t="n">
        <v>0.3065</v>
      </c>
      <c r="I3" t="n">
        <v>1.04</v>
      </c>
      <c r="J3" t="n">
        <v>3.6</v>
      </c>
      <c r="K3" t="n">
        <v>3</v>
      </c>
      <c r="L3" s="14" t="n">
        <v>0.1479</v>
      </c>
    </row>
    <row r="4">
      <c r="A4" t="inlineStr">
        <is>
          <t>2026-05</t>
        </is>
      </c>
      <c r="B4" t="n">
        <v>203</v>
      </c>
      <c r="C4" t="n">
        <v>149</v>
      </c>
      <c r="D4" t="n">
        <v>1515243.11</v>
      </c>
      <c r="E4" t="n">
        <v>2020062.99</v>
      </c>
      <c r="F4" s="14" t="n">
        <v>0.09379999999999999</v>
      </c>
      <c r="G4" s="14" t="n">
        <v>0.4032</v>
      </c>
      <c r="H4" s="14" t="n">
        <v>0.3226</v>
      </c>
      <c r="I4" t="n">
        <v>1.27</v>
      </c>
      <c r="J4" t="n">
        <v>4.1</v>
      </c>
      <c r="K4" t="n">
        <v>3.8</v>
      </c>
      <c r="L4" s="14" t="n">
        <v>0.2044</v>
      </c>
    </row>
    <row r="5">
      <c r="A5" t="inlineStr">
        <is>
          <t>2026-06</t>
        </is>
      </c>
      <c r="B5" t="n">
        <v>250</v>
      </c>
      <c r="C5" t="n">
        <v>96</v>
      </c>
      <c r="D5" t="n">
        <v>1941648.36</v>
      </c>
      <c r="E5" t="n">
        <v>1188589.12</v>
      </c>
      <c r="F5" s="14" t="n">
        <v>0.1012</v>
      </c>
      <c r="G5" s="14" t="n">
        <v>0.4032</v>
      </c>
      <c r="H5" s="14" t="n">
        <v>0.3226</v>
      </c>
      <c r="I5" t="n">
        <v>1.08</v>
      </c>
      <c r="J5" t="n">
        <v>4.2</v>
      </c>
      <c r="K5" t="n">
        <v>3.8</v>
      </c>
      <c r="L5" s="14" t="n">
        <v>0.1837</v>
      </c>
    </row>
    <row r="6">
      <c r="A6" t="inlineStr">
        <is>
          <t>2026-07</t>
        </is>
      </c>
      <c r="B6" t="n">
        <v>286</v>
      </c>
      <c r="C6" t="n">
        <v>101</v>
      </c>
      <c r="D6" t="n">
        <v>2203701.57</v>
      </c>
      <c r="E6" t="n">
        <v>1406470.02</v>
      </c>
      <c r="F6" s="14" t="n">
        <v>0.0646</v>
      </c>
      <c r="G6" s="14" t="n">
        <v>0.4032</v>
      </c>
      <c r="H6" s="14" t="n">
        <v>0.3226</v>
      </c>
      <c r="I6" t="n">
        <v>1.03</v>
      </c>
      <c r="J6" t="n">
        <v>5</v>
      </c>
      <c r="K6" t="n">
        <v>4.2</v>
      </c>
      <c r="L6" s="14" t="n">
        <v>0.188</v>
      </c>
    </row>
    <row r="7">
      <c r="A7" s="13" t="n"/>
      <c r="B7" s="13" t="n"/>
      <c r="C7" s="13" t="n"/>
    </row>
    <row r="8">
      <c r="A8" t="inlineStr">
        <is>
          <t>Mes</t>
        </is>
      </c>
      <c r="B8" s="14" t="inlineStr">
        <is>
          <t>Tasa Imputable</t>
        </is>
      </c>
      <c r="C8" s="14" t="inlineStr">
        <is>
          <t>Tasa Total</t>
        </is>
      </c>
    </row>
    <row r="9">
      <c r="A9" t="inlineStr">
        <is>
          <t>2026-04</t>
        </is>
      </c>
      <c r="B9" s="14" t="n">
        <v>0.03243</v>
      </c>
      <c r="C9" s="14" t="n">
        <v>0.03243</v>
      </c>
    </row>
    <row r="10">
      <c r="A10" t="inlineStr">
        <is>
          <t>2026-05</t>
        </is>
      </c>
      <c r="B10" s="14" t="n">
        <v>0.01478</v>
      </c>
      <c r="C10" s="14" t="n">
        <v>0.02463</v>
      </c>
    </row>
    <row r="11">
      <c r="A11" t="inlineStr">
        <is>
          <t>2026-06</t>
        </is>
      </c>
      <c r="B11" s="14" t="n">
        <v>0.008</v>
      </c>
      <c r="C11" s="14" t="n">
        <v>0.008</v>
      </c>
    </row>
    <row r="12">
      <c r="A12" t="inlineStr">
        <is>
          <t>2026-07</t>
        </is>
      </c>
      <c r="B12" s="14" t="n">
        <v>0.00699</v>
      </c>
      <c r="C12" s="14" t="n">
        <v>0.01748</v>
      </c>
    </row>
    <row r="13">
      <c r="A13" s="13" t="n"/>
      <c r="B13" s="13" t="n"/>
      <c r="C13" s="13" t="n"/>
    </row>
    <row r="14">
      <c r="A14" t="inlineStr">
        <is>
          <t>Mes</t>
        </is>
      </c>
      <c r="B14" t="inlineStr">
        <is>
          <t>Horas Pago Lote</t>
        </is>
      </c>
      <c r="C14" t="inlineStr">
        <is>
          <t>Horas CTS</t>
        </is>
      </c>
    </row>
    <row r="15">
      <c r="A15" t="inlineStr">
        <is>
          <t>2026-04</t>
        </is>
      </c>
      <c r="B15" t="n">
        <v>4</v>
      </c>
      <c r="C15" t="n">
        <v>5.5</v>
      </c>
    </row>
    <row r="16">
      <c r="A16" t="inlineStr">
        <is>
          <t>2026-05</t>
        </is>
      </c>
      <c r="B16" t="n">
        <v>4.4</v>
      </c>
      <c r="C16" t="n">
        <v>9.9</v>
      </c>
    </row>
    <row r="17">
      <c r="A17" t="inlineStr">
        <is>
          <t>2026-06</t>
        </is>
      </c>
      <c r="B17" t="n">
        <v>5.4</v>
      </c>
      <c r="C17" t="n">
        <v>6.4</v>
      </c>
    </row>
    <row r="18">
      <c r="A18" t="inlineStr">
        <is>
          <t>2026-07</t>
        </is>
      </c>
      <c r="B18" t="n">
        <v>6.2</v>
      </c>
      <c r="C18" t="n">
        <v>6.7</v>
      </c>
    </row>
    <row r="19">
      <c r="A19" s="2" t="inlineStr">
        <is>
          <t>Graficos nativos de Excel a partir de las tablas de la izquierda. Se pueden copiar/pegar como imagen o editar el estilo directo en Excel.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50" customWidth="1" min="3" max="3"/>
    <col width="34" customWidth="1" min="4" max="4"/>
  </cols>
  <sheetData>
    <row r="1" ht="22" customHeight="1">
      <c r="A1" s="1" t="inlineStr">
        <is>
          <t>METODOLOGIA Y EXPLICACION DE CADA KPI</t>
        </is>
      </c>
    </row>
    <row r="2">
      <c r="A2" s="15" t="inlineStr">
        <is>
          <t>KPI</t>
        </is>
      </c>
      <c r="B2" s="15" t="inlineStr">
        <is>
          <t>Que mide</t>
        </is>
      </c>
      <c r="C2" s="15" t="inlineStr">
        <is>
          <t>Como se calcula</t>
        </is>
      </c>
      <c r="D2" s="15" t="inlineStr">
        <is>
          <t>Fuente</t>
        </is>
      </c>
    </row>
    <row r="3">
      <c r="A3" s="16" t="inlineStr">
        <is>
          <t>K1 Volumen Pago Lote</t>
        </is>
      </c>
      <c r="B3" s="16" t="inlineStr">
        <is>
          <t>Cantidad de transacciones de pago masivo (planillas)</t>
        </is>
      </c>
      <c r="C3" s="16" t="inlineStr">
        <is>
          <t>Conteo de filas 'PAGO LOTE' por mes (fecha y hora)</t>
        </is>
      </c>
      <c r="D3" s="16" t="inlineStr">
        <is>
          <t>Detalle Pago Lote y CTS - Seccion 1</t>
        </is>
      </c>
    </row>
    <row r="4">
      <c r="A4" s="17" t="inlineStr">
        <is>
          <t>K2 Monto Pago Lote</t>
        </is>
      </c>
      <c r="B4" s="17" t="inlineStr">
        <is>
          <t>Soles movilizados en pago lote</t>
        </is>
      </c>
      <c r="C4" s="17" t="inlineStr">
        <is>
          <t>Suma de 'Monto' de las filas Pago Lote</t>
        </is>
      </c>
      <c r="D4" s="17" t="inlineStr">
        <is>
          <t>Detalle Pago Lote y CTS - Seccion 1</t>
        </is>
      </c>
    </row>
    <row r="5">
      <c r="A5" s="16" t="inlineStr">
        <is>
          <t>K3 Volumen CTS</t>
        </is>
      </c>
      <c r="B5" s="16" t="inlineStr">
        <is>
          <t>Cantidad de depositos lote de CTS</t>
        </is>
      </c>
      <c r="C5" s="16" t="inlineStr">
        <is>
          <t>Conteo de filas 'DEPOSITO LOTE CTS' por mes</t>
        </is>
      </c>
      <c r="D5" s="16" t="inlineStr">
        <is>
          <t>Detalle Pago Lote y CTS - Seccion 2</t>
        </is>
      </c>
    </row>
    <row r="6">
      <c r="A6" s="17" t="inlineStr">
        <is>
          <t>K4 Monto CTS</t>
        </is>
      </c>
      <c r="B6" s="17" t="inlineStr">
        <is>
          <t>Soles depositados por CTS</t>
        </is>
      </c>
      <c r="C6" s="17" t="inlineStr">
        <is>
          <t>Suma de 'Monto' de las filas CTS</t>
        </is>
      </c>
      <c r="D6" s="17" t="inlineStr">
        <is>
          <t>Detalle Pago Lote y CTS - Seccion 2</t>
        </is>
      </c>
    </row>
    <row r="7">
      <c r="A7" s="16" t="inlineStr">
        <is>
          <t>K5 Ratio carga Asistentes</t>
        </is>
      </c>
      <c r="B7" s="16" t="inlineStr">
        <is>
          <t>Desbalance de carga entre asistentes</t>
        </is>
      </c>
      <c r="C7" s="16" t="inlineStr">
        <is>
          <t>MAX(ops asistente) / MIN(ops asistente). Meta &lt;= 2.0x</t>
        </is>
      </c>
      <c r="D7" s="16" t="inlineStr">
        <is>
          <t>Detalle Pago Lote y CTS - Usuario</t>
        </is>
      </c>
    </row>
    <row r="8">
      <c r="A8" s="17" t="inlineStr">
        <is>
          <t>K5a % Analista operando</t>
        </is>
      </c>
      <c r="B8" s="17" t="inlineStr">
        <is>
          <t>Cuanto del volumen lo hace el analista (deberia delegar)</t>
        </is>
      </c>
      <c r="C8" s="17" t="inlineStr">
        <is>
          <t>Ops del analista / Total ops. Meta &lt;= 10%</t>
        </is>
      </c>
      <c r="D8" s="17" t="inlineStr">
        <is>
          <t>Detalle Pago Lote y CTS - Usuario</t>
        </is>
      </c>
    </row>
    <row r="9">
      <c r="A9" s="16" t="inlineStr">
        <is>
          <t>K6 % Centralizacion CTS</t>
        </is>
      </c>
      <c r="B9" s="16" t="inlineStr">
        <is>
          <t>Cuanto del CTS de la red ya se resuelve de forma centralizada</t>
        </is>
      </c>
      <c r="C9" s="16" t="inlineStr">
        <is>
          <t>CTS en OFICINA PRINCIPAL / CTS total de toda la red</t>
        </is>
      </c>
      <c r="D9" s="16" t="inlineStr">
        <is>
          <t>Abono de Sueldos y CTS - Tienda</t>
        </is>
      </c>
    </row>
    <row r="10">
      <c r="A10" s="17" t="inlineStr">
        <is>
          <t>K7 Cobertura Pago Lote</t>
        </is>
      </c>
      <c r="B10" s="17" t="inlineStr">
        <is>
          <t>Alcance geografico del pago lote</t>
        </is>
      </c>
      <c r="C10" s="17" t="inlineStr">
        <is>
          <t>Tiendas unicas Pago Lote / 62 tiendas de la red</t>
        </is>
      </c>
      <c r="D10" s="17" t="inlineStr">
        <is>
          <t>Detalle Pago Lote y CTS - Tienda</t>
        </is>
      </c>
    </row>
    <row r="11">
      <c r="A11" s="16" t="inlineStr">
        <is>
          <t>K8 Cobertura CTS</t>
        </is>
      </c>
      <c r="B11" s="16" t="inlineStr">
        <is>
          <t>Alcance geografico de CTS</t>
        </is>
      </c>
      <c r="C11" s="16" t="inlineStr">
        <is>
          <t>Tiendas unicas CTS / 62 tiendas de la red</t>
        </is>
      </c>
      <c r="D11" s="16" t="inlineStr">
        <is>
          <t>Detalle CTS - Tienda</t>
        </is>
      </c>
    </row>
    <row r="12">
      <c r="A12" s="17" t="inlineStr">
        <is>
          <t>K9 Empleadores CTS</t>
        </is>
      </c>
      <c r="B12" s="17" t="inlineStr">
        <is>
          <t>Cantidad de empresas atendidas en CTS</t>
        </is>
      </c>
      <c r="C12" s="17" t="inlineStr">
        <is>
          <t>Conteo de empleadores unicos del mes</t>
        </is>
      </c>
      <c r="D12" s="17" t="inlineStr">
        <is>
          <t>Detalle CTS - Empleador</t>
        </is>
      </c>
    </row>
    <row r="13">
      <c r="A13" s="16" t="inlineStr">
        <is>
          <t>K7 Eficiencia (hoja)</t>
        </is>
      </c>
      <c r="B13" s="16" t="inlineStr">
        <is>
          <t>Productividad por operador</t>
        </is>
      </c>
      <c r="C13" s="16" t="inlineStr">
        <is>
          <t>Total ops / persona-dias y / (operadores x dias calendario)</t>
        </is>
      </c>
      <c r="D13" s="16" t="inlineStr">
        <is>
          <t>Detalle Pago Lote y CTS</t>
        </is>
      </c>
    </row>
    <row r="14">
      <c r="A14" s="17" t="inlineStr">
        <is>
          <t>K8 Tasa Extornos (hoja)</t>
        </is>
      </c>
      <c r="B14" s="17" t="inlineStr">
        <is>
          <t>Calidad: errores que se revierten</t>
        </is>
      </c>
      <c r="C14" s="17" t="inlineStr">
        <is>
          <t>Extornos imputables (ERROR USUARIO) / K1 Pago Lote</t>
        </is>
      </c>
      <c r="D14" s="17" t="inlineStr">
        <is>
          <t>Extornos</t>
        </is>
      </c>
    </row>
    <row r="15">
      <c r="A15" s="16" t="inlineStr">
        <is>
          <t>K9 Tiempo Proc. (hoja)</t>
        </is>
      </c>
      <c r="B15" s="16" t="inlineStr">
        <is>
          <t>Carga horaria estimada del area</t>
        </is>
      </c>
      <c r="C15" s="16" t="inlineStr">
        <is>
          <t>K1x1.3min + K3x4.0min (ESTIMADO)</t>
        </is>
      </c>
      <c r="D15" s="16" t="inlineStr">
        <is>
          <t>Detalle Pago Lote y CTS</t>
        </is>
      </c>
    </row>
    <row r="16">
      <c r="A16" s="17" t="inlineStr">
        <is>
          <t>Abono Sueldos</t>
        </is>
      </c>
      <c r="B16" s="17" t="inlineStr">
        <is>
          <t>Volumen y exito de abonos</t>
        </is>
      </c>
      <c r="C16" s="17" t="inlineStr">
        <is>
          <t>Conteo por mes y % con Estado='EXITOSO'</t>
        </is>
      </c>
      <c r="D16" s="17" t="inlineStr">
        <is>
          <t>Abono de Sueldos y CTS</t>
        </is>
      </c>
    </row>
    <row r="17">
      <c r="A17" s="16" t="inlineStr">
        <is>
          <t>Buzon</t>
        </is>
      </c>
      <c r="B17" s="16" t="inlineStr">
        <is>
          <t>Demanda de requerimientos y su reparto</t>
        </is>
      </c>
      <c r="C17" s="16" t="inlineStr">
        <is>
          <t>Conteo por tipo de solicitud y por persona asignada</t>
        </is>
      </c>
      <c r="D17" s="16" t="inlineStr">
        <is>
          <t>REQUERIMIENTOS ...csv</t>
        </is>
      </c>
    </row>
    <row r="19">
      <c r="A19" s="2" t="inlineStr">
        <is>
          <t>SUPUESTOS: operadores y roles definidos en ROLES; tiempos de procesamiento son estimados; denominador de cobertura = 62 tiendas.</t>
        </is>
      </c>
    </row>
    <row r="21">
      <c r="A21" s="2" t="inlineStr">
        <is>
          <t>LIMITACIONES CONOCIDAS: no hay motivo de extorno estandarizado; el buzon no siempre registra fecha de atencion; el tiempo de procesamiento no esta cronometrado.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2026-08-10T03:47:24Z</dcterms:created>
  <dcterms:modified xmlns:dcterms="http://purl.org/dc/terms/" xmlns:xsi="http://www.w3.org/2001/XMLSchema-instance" xsi:type="dcterms:W3CDTF">2026-08-10T03:47:24Z</dcterms:modified>
</cp:coreProperties>
</file>